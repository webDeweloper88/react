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Khudoyberdiev\Desktop\TYU\"/>
    </mc:Choice>
  </mc:AlternateContent>
  <bookViews>
    <workbookView xWindow="0" yWindow="0" windowWidth="15360" windowHeight="7650"/>
  </bookViews>
  <sheets>
    <sheet name="Протокол" sheetId="1" r:id="rId1"/>
    <sheet name="Template" sheetId="6" state="hidden" r:id="rId2"/>
    <sheet name="сертификат" sheetId="3" r:id="rId3"/>
    <sheet name="шаб.сертификат" sheetId="8" state="hidden" r:id="rId4"/>
    <sheet name="Temp" sheetId="4" r:id="rId5"/>
    <sheet name="Temp2" sheetId="7" r:id="rId6"/>
    <sheet name="Config" sheetId="5" r:id="rId7"/>
  </sheets>
  <definedNames>
    <definedName name="_xlnm.Print_Area" localSheetId="0">Протокол!$A$1:$V$24</definedName>
    <definedName name="_xlnm.Print_Area" localSheetId="2">сертификат!$A$1:$I$51</definedName>
    <definedName name="_xlnm.Print_Area" localSheetId="3">шаб.сертификат!$A$1:$I$51</definedName>
  </definedNames>
  <calcPr calcId="162913"/>
</workbook>
</file>

<file path=xl/calcChain.xml><?xml version="1.0" encoding="utf-8"?>
<calcChain xmlns="http://schemas.openxmlformats.org/spreadsheetml/2006/main">
  <c r="C43" i="3" l="1"/>
  <c r="F39" i="3"/>
  <c r="F29" i="3"/>
  <c r="A29" i="3"/>
  <c r="C22" i="3"/>
  <c r="E18" i="3"/>
  <c r="B18" i="3"/>
  <c r="H16" i="3"/>
  <c r="D16" i="3"/>
  <c r="A16" i="3"/>
  <c r="H14" i="3"/>
  <c r="F14" i="3"/>
  <c r="C14" i="3"/>
  <c r="C11" i="3"/>
  <c r="G21" i="1"/>
  <c r="G18" i="1"/>
  <c r="N3" i="1"/>
  <c r="H43" i="3" s="1"/>
  <c r="S9" i="1"/>
  <c r="M9" i="1"/>
  <c r="G9" i="1"/>
  <c r="V7" i="1"/>
  <c r="H29" i="3" s="1"/>
  <c r="S7" i="1"/>
  <c r="C29" i="3" s="1"/>
  <c r="P7" i="1"/>
  <c r="N7" i="1"/>
  <c r="F7" i="1"/>
  <c r="D27" i="3" s="1"/>
  <c r="P4" i="7"/>
  <c r="P3" i="7"/>
  <c r="P2" i="7"/>
  <c r="F11" i="3" l="1"/>
  <c r="A9" i="7"/>
  <c r="A8" i="7"/>
  <c r="A7" i="7"/>
  <c r="A6" i="7"/>
  <c r="A5" i="7"/>
  <c r="S9" i="6" l="1"/>
  <c r="G9" i="6"/>
  <c r="M9" i="6"/>
  <c r="V7" i="6" l="1"/>
  <c r="S7" i="6"/>
  <c r="P7" i="6"/>
  <c r="N7" i="6"/>
  <c r="F7" i="6"/>
  <c r="G21" i="6" l="1"/>
  <c r="G18" i="6"/>
  <c r="C43" i="8" l="1"/>
  <c r="F39" i="8"/>
  <c r="H29" i="8"/>
  <c r="F29" i="8"/>
  <c r="C29" i="8"/>
  <c r="A29" i="8"/>
  <c r="D27" i="8"/>
  <c r="C22" i="8"/>
  <c r="E18" i="8"/>
  <c r="B18" i="8"/>
  <c r="H16" i="8"/>
  <c r="D16" i="8"/>
  <c r="A16" i="8"/>
  <c r="H14" i="8"/>
  <c r="F14" i="8"/>
  <c r="C14" i="8"/>
  <c r="C11" i="8"/>
  <c r="H43" i="8" l="1"/>
  <c r="F11" i="8"/>
</calcChain>
</file>

<file path=xl/sharedStrings.xml><?xml version="1.0" encoding="utf-8"?>
<sst xmlns="http://schemas.openxmlformats.org/spreadsheetml/2006/main" count="297" uniqueCount="153">
  <si>
    <t>Имя сигнала в системе</t>
  </si>
  <si>
    <t>min</t>
  </si>
  <si>
    <t>max</t>
  </si>
  <si>
    <t>Ед. измере-ния</t>
  </si>
  <si>
    <t>mA</t>
  </si>
  <si>
    <t>Основная абсолютная погрешность канала Doai mA</t>
  </si>
  <si>
    <t>Предел доп. абсолютной погрешности Doa  mA</t>
  </si>
  <si>
    <t>Заключение</t>
  </si>
  <si>
    <t>№</t>
  </si>
  <si>
    <t>Диапазон</t>
  </si>
  <si>
    <t xml:space="preserve">Объект </t>
  </si>
  <si>
    <t>Аппарат</t>
  </si>
  <si>
    <t>Позиция</t>
  </si>
  <si>
    <t xml:space="preserve">Диапазон измерения:          </t>
  </si>
  <si>
    <t>Изготовитель:</t>
  </si>
  <si>
    <t>Тип образцового средства измерений:</t>
  </si>
  <si>
    <t xml:space="preserve">Дата поверки: </t>
  </si>
  <si>
    <t xml:space="preserve">Тип прибора: </t>
  </si>
  <si>
    <t>Аналоговый модуль</t>
  </si>
  <si>
    <t>Завод. номер №</t>
  </si>
  <si>
    <t>÷</t>
  </si>
  <si>
    <t>кл.т %</t>
  </si>
  <si>
    <t xml:space="preserve">Диапазон измер:          </t>
  </si>
  <si>
    <t xml:space="preserve">Результаты внешнего осмотра прибора:  </t>
  </si>
  <si>
    <t>измерител. каналы АСУТП</t>
  </si>
  <si>
    <t>Предел допустимой основной погрешности   %</t>
  </si>
  <si>
    <t>единицы величины отображаемые на экране монитора</t>
  </si>
  <si>
    <t>Значение входного сигнала Xi (mA)</t>
  </si>
  <si>
    <t>Значение выходного сигнала Yi (mA)</t>
  </si>
  <si>
    <t xml:space="preserve">                                             </t>
  </si>
  <si>
    <t xml:space="preserve">Metrologiya xizmati / MChJ «ЛУКОЙЛ Узбекистан Оперейтинг Компани» </t>
  </si>
  <si>
    <t xml:space="preserve">Метрологическая служба / ООО «ЛУКОЙЛ Узбекистан Оперейтинг Компани» </t>
  </si>
  <si>
    <t>Akkereditlash guvohnomasi</t>
  </si>
  <si>
    <t>dan №</t>
  </si>
  <si>
    <t>Свидетельство аккредитации от</t>
  </si>
  <si>
    <t>Sertifikat raqami</t>
  </si>
  <si>
    <t>Номер сертификата</t>
  </si>
  <si>
    <r>
      <t>O`lchash vositasining belgilanishi va nomlanishi</t>
    </r>
    <r>
      <rPr>
        <sz val="7"/>
        <rFont val="Times New Roman"/>
        <family val="1"/>
        <charset val="204"/>
      </rPr>
      <t xml:space="preserve">  / Наименование и обозначение средства измерений</t>
    </r>
  </si>
  <si>
    <r>
      <t xml:space="preserve">Zavod raqami </t>
    </r>
    <r>
      <rPr>
        <sz val="7"/>
        <rFont val="Times New Roman"/>
        <family val="1"/>
        <charset val="204"/>
      </rPr>
      <t>/ Заводской номер</t>
    </r>
  </si>
  <si>
    <r>
      <t>O`lchashlar chegaralari, O`V xatoliklari aniqlik sinfi</t>
    </r>
    <r>
      <rPr>
        <sz val="7"/>
        <rFont val="Times New Roman"/>
        <family val="1"/>
        <charset val="204"/>
      </rPr>
      <t xml:space="preserve"> / Пределы измерений, погрешности, класс точности СИ</t>
    </r>
  </si>
  <si>
    <r>
      <t>Usuliyat nomlanishi, identifikatlash</t>
    </r>
    <r>
      <rPr>
        <sz val="7"/>
        <rFont val="Times New Roman"/>
        <family val="1"/>
        <charset val="204"/>
      </rPr>
      <t xml:space="preserve"> / Наименование методики, идентификация</t>
    </r>
  </si>
  <si>
    <t>Tasdiqlovchi imzo</t>
  </si>
  <si>
    <t>Berilgan sana</t>
  </si>
  <si>
    <t>Утверждающая подпись</t>
  </si>
  <si>
    <t>Дата выдачи</t>
  </si>
  <si>
    <r>
      <t>F.I.Sh., lavozimi</t>
    </r>
    <r>
      <rPr>
        <sz val="7"/>
        <rFont val="Times New Roman"/>
        <family val="1"/>
        <charset val="204"/>
      </rPr>
      <t xml:space="preserve"> / Ф.И.О., должность</t>
    </r>
  </si>
  <si>
    <t>Laboratoriya manzili / Telefon, faks, e-pochta, web-sayt</t>
  </si>
  <si>
    <t>Адресс лаборатории / Телефон, факс, е-почта, web-сайт</t>
  </si>
  <si>
    <r>
      <t>Namunaviy O`V belgilanishi va nomlanishi</t>
    </r>
    <r>
      <rPr>
        <sz val="7"/>
        <rFont val="Times New Roman"/>
        <family val="1"/>
        <charset val="204"/>
      </rPr>
      <t xml:space="preserve"> / Наименование и обозначение образцовых СИ</t>
    </r>
  </si>
  <si>
    <r>
      <t>Namunaviy O`V zavod raqami, o`lchashlar chegaralari,  xatoliklari aniqlik sinfi, qiyoslash sanasi</t>
    </r>
    <r>
      <rPr>
        <sz val="7"/>
        <rFont val="Times New Roman"/>
        <family val="1"/>
        <charset val="204"/>
      </rPr>
      <t xml:space="preserve"> / Заводской номер, пределы измерений, погрешности, класс точности, дата поверки образцовых СИ</t>
    </r>
  </si>
  <si>
    <r>
      <t xml:space="preserve">F.I.Sh., lavozimi / </t>
    </r>
    <r>
      <rPr>
        <sz val="7"/>
        <rFont val="Times New Roman"/>
        <family val="1"/>
        <charset val="204"/>
      </rPr>
      <t>Ф.И.О., должность</t>
    </r>
  </si>
  <si>
    <t>ПРОТОКОЛ ПОВЕРКИ</t>
  </si>
  <si>
    <t xml:space="preserve">Методика поверки:         </t>
  </si>
  <si>
    <t>соответствует п. 10.1 "Методика поверки.  Контроллеры электрических сигналов измерительные O´z DSt 8.053:2017 ".</t>
  </si>
  <si>
    <t>Барометрическое давление  (85÷105), kPa</t>
  </si>
  <si>
    <t>Температура окружающей среды (5÷40),°С</t>
  </si>
  <si>
    <t>Относительная влажность (5÷80), %</t>
  </si>
  <si>
    <t>Сертификат поверки</t>
  </si>
  <si>
    <t>Qiyoslash sertifikati</t>
  </si>
  <si>
    <t>Verification sertificate</t>
  </si>
  <si>
    <t>O'ZAK.QL.0003</t>
  </si>
  <si>
    <t>Qiyoslash sanasi</t>
  </si>
  <si>
    <t>Дата поверки</t>
  </si>
  <si>
    <t>Методика поверки</t>
  </si>
  <si>
    <t>Qiyoslash usuliyati</t>
  </si>
  <si>
    <t>Qiyoslash quyidagilar yordamida bajariladi</t>
  </si>
  <si>
    <t>Поверка выполнена с помощью</t>
  </si>
  <si>
    <t>Qiyoslash natijalari</t>
  </si>
  <si>
    <t>Результаты поверки</t>
  </si>
  <si>
    <t>Qiyoslasharo masofa (tafsiya etiladigan)</t>
  </si>
  <si>
    <t>Межповерочный интервал (рекомендуемый)</t>
  </si>
  <si>
    <t>Qiyoslashni bajargan shaxs imzosi</t>
  </si>
  <si>
    <t>Qiyoslash obyekti</t>
  </si>
  <si>
    <t>Объект поверки</t>
  </si>
  <si>
    <t xml:space="preserve">Подпись лица, выполнившего поверку </t>
  </si>
  <si>
    <t>Поверку произвел:</t>
  </si>
  <si>
    <t>2 года</t>
  </si>
  <si>
    <t xml:space="preserve">O´z DSt 8.053:2017 Контроллеры электрических сигналов измерительные </t>
  </si>
  <si>
    <t>Годен</t>
  </si>
  <si>
    <r>
      <t>Yuridik shaxs-O`V tayyorlovchisi va importlovchi mamlakat</t>
    </r>
    <r>
      <rPr>
        <sz val="7"/>
        <rFont val="Times New Roman"/>
        <family val="1"/>
        <charset val="204"/>
      </rPr>
      <t>/ Юридическое лицо-изготовитель, страна импортёр СИ</t>
    </r>
  </si>
  <si>
    <t>ООО "ЛУКОЙЛ Узбекистан Оперейтинг Компани" КГПК "Цех автоматизации и метрологии"</t>
  </si>
  <si>
    <t>КГПК</t>
  </si>
  <si>
    <t>Калибратор Fluke 707 Ex</t>
  </si>
  <si>
    <t>4 сентября 2019 г.</t>
  </si>
  <si>
    <t xml:space="preserve">Namunaviy o'lchash vositalari (etalonlar) nomi va ularning darajasi (identifikatlash) kuzatuvchanlik isboti / 
Наименование образцовых средств измерений (эталонов) и их статус (идентификация) доказательство прослеживаемости </t>
  </si>
  <si>
    <t>0÷24 mA</t>
  </si>
  <si>
    <r>
      <t xml:space="preserve">Завод. номер </t>
    </r>
    <r>
      <rPr>
        <sz val="12"/>
        <rFont val="Palatino Linotype"/>
        <family val="1"/>
      </rPr>
      <t>№</t>
    </r>
  </si>
  <si>
    <t>100</t>
  </si>
  <si>
    <t>Реестр аналоговых модулей для калибровки ИК.xlsx</t>
  </si>
  <si>
    <t>C</t>
  </si>
  <si>
    <t>-25</t>
  </si>
  <si>
    <t>годен</t>
  </si>
  <si>
    <t>1101TIT1701</t>
  </si>
  <si>
    <t>№№ п.п.</t>
  </si>
  <si>
    <t>Установка</t>
  </si>
  <si>
    <t>Расположение шкафа</t>
  </si>
  <si>
    <t>Шкаф</t>
  </si>
  <si>
    <t>Производитель (марка, страна)</t>
  </si>
  <si>
    <t>Модель</t>
  </si>
  <si>
    <t>Погрешность модуля</t>
  </si>
  <si>
    <t>Серийный номер (основ.)</t>
  </si>
  <si>
    <t>Серийный номер (резерв.)</t>
  </si>
  <si>
    <t>Имя модуля</t>
  </si>
  <si>
    <t>№ канала</t>
  </si>
  <si>
    <t>Позиция в поле</t>
  </si>
  <si>
    <t>Погрешность</t>
  </si>
  <si>
    <t>№ протокола</t>
  </si>
  <si>
    <t>Проверь позицию !!!!!!</t>
  </si>
  <si>
    <t>Температура</t>
  </si>
  <si>
    <t>Давление</t>
  </si>
  <si>
    <t>Влажность</t>
  </si>
  <si>
    <t>Протокол проверил:</t>
  </si>
  <si>
    <t>Инженер по АСУП</t>
  </si>
  <si>
    <t xml:space="preserve">Путь </t>
  </si>
  <si>
    <t>Дата поверки:</t>
  </si>
  <si>
    <t>Сертификатов</t>
  </si>
  <si>
    <r>
      <t xml:space="preserve">Завод. номер </t>
    </r>
    <r>
      <rPr>
        <sz val="12"/>
        <color theme="1"/>
        <rFont val="Swis721 BlkCn BT"/>
        <family val="2"/>
      </rPr>
      <t>№</t>
    </r>
  </si>
  <si>
    <t>Ташкент, Батир Закиров, 1А, тел: 1404040, www.lukoil-overseas.uz</t>
  </si>
  <si>
    <t>Honeywell, USA</t>
  </si>
  <si>
    <t>Honeywell</t>
  </si>
  <si>
    <t>USA</t>
  </si>
  <si>
    <t>Вед. инженер</t>
  </si>
  <si>
    <t>Гузаров Ж.К.</t>
  </si>
  <si>
    <t>CC-PAIH51</t>
  </si>
  <si>
    <t>±0.15%</t>
  </si>
  <si>
    <t>none</t>
  </si>
  <si>
    <t>0.29</t>
  </si>
  <si>
    <t>0</t>
  </si>
  <si>
    <t>barg</t>
  </si>
  <si>
    <t>1</t>
  </si>
  <si>
    <t>Цой Ю.С.</t>
  </si>
  <si>
    <t>2701FIT4301B</t>
  </si>
  <si>
    <t>51462</t>
  </si>
  <si>
    <t>Sm3/hr</t>
  </si>
  <si>
    <t>2701PDIT4301B</t>
  </si>
  <si>
    <t>6</t>
  </si>
  <si>
    <t>mbar</t>
  </si>
  <si>
    <t>2701PIT0095</t>
  </si>
  <si>
    <t>270-1</t>
  </si>
  <si>
    <t>PIB-1</t>
  </si>
  <si>
    <t>430-JK-D-1002</t>
  </si>
  <si>
    <t>151671191</t>
  </si>
  <si>
    <t>151671101</t>
  </si>
  <si>
    <t>430C1030_L2_AI04</t>
  </si>
  <si>
    <t>02.01.2023</t>
  </si>
  <si>
    <t>4044</t>
  </si>
  <si>
    <t>151671285</t>
  </si>
  <si>
    <t>430C1030_L1_AI20</t>
  </si>
  <si>
    <t>151671340</t>
  </si>
  <si>
    <t>151671386</t>
  </si>
  <si>
    <t>430C1030_L2_AI02</t>
  </si>
  <si>
    <t>4043</t>
  </si>
  <si>
    <t>C:\Users\MAKhudoyberdiev\Desktop\TYU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</si>
</sst>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"/>
    <numFmt numFmtId="166" formatCode="[$-F800]dddd\,\ mmmm\ dd\,\ yyyy"/>
    <numFmt numFmtId="167" formatCode="0000"/>
    <numFmt numFmtId="168" formatCode="[$-F400]h:mm:ss\ AM/PM"/>
    <numFmt numFmtId="169" formatCode="dd\.mm\.yyyy"/>
  </numFmts>
  <fonts count="60" x14ac:knownFonts="1">
    <font>
      <sz val="12"/>
      <color theme="1"/>
      <name val="Times New Roman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b/>
      <sz val="10"/>
      <name val="Arial"/>
      <family val="2"/>
      <charset val="204"/>
    </font>
    <font>
      <sz val="12"/>
      <name val="Times New Roman"/>
      <family val="2"/>
      <charset val="204"/>
    </font>
    <font>
      <sz val="10"/>
      <name val="Arial"/>
      <family val="2"/>
      <charset val="204"/>
    </font>
    <font>
      <b/>
      <sz val="14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b/>
      <sz val="14"/>
      <name val="Times New Roman"/>
      <family val="2"/>
      <charset val="204"/>
    </font>
    <font>
      <sz val="14"/>
      <name val="Times New Roman"/>
      <family val="2"/>
      <charset val="204"/>
    </font>
    <font>
      <b/>
      <sz val="11"/>
      <name val="Times New Roman"/>
      <family val="1"/>
      <charset val="204"/>
    </font>
    <font>
      <b/>
      <sz val="2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u/>
      <sz val="10"/>
      <name val="Times New Roman"/>
      <family val="1"/>
      <charset val="204"/>
    </font>
    <font>
      <sz val="10"/>
      <name val="Times New Roman"/>
      <family val="2"/>
      <charset val="204"/>
    </font>
    <font>
      <sz val="8"/>
      <name val="Times New Roman"/>
      <family val="1"/>
      <charset val="204"/>
    </font>
    <font>
      <sz val="7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name val="Palatino Linotype"/>
      <family val="1"/>
    </font>
    <font>
      <b/>
      <sz val="10"/>
      <color theme="1"/>
      <name val="Arial"/>
      <family val="2"/>
      <charset val="204"/>
    </font>
    <font>
      <u/>
      <sz val="12"/>
      <color theme="10"/>
      <name val="Times New Roman"/>
      <family val="2"/>
      <charset val="204"/>
    </font>
    <font>
      <sz val="14"/>
      <name val="Lucida Sans Unicode"/>
      <family val="2"/>
      <charset val="204"/>
    </font>
    <font>
      <sz val="12"/>
      <color theme="1"/>
      <name val="Swis721 BlkCn BT"/>
      <family val="2"/>
    </font>
    <font>
      <sz val="12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0">
    <xf numFmtId="0" fontId="0" fillId="0" borderId="0"/>
    <xf numFmtId="0" fontId="15" fillId="0" borderId="0"/>
    <xf numFmtId="0" fontId="33" fillId="0" borderId="0"/>
    <xf numFmtId="0" fontId="32" fillId="0" borderId="0"/>
    <xf numFmtId="0" fontId="36" fillId="16" borderId="0" applyNumberFormat="0" applyBorder="0" applyAlignment="0" applyProtection="0"/>
    <xf numFmtId="0" fontId="34" fillId="0" borderId="0"/>
    <xf numFmtId="0" fontId="37" fillId="0" borderId="0"/>
    <xf numFmtId="0" fontId="34" fillId="13" borderId="0" applyNumberFormat="0" applyBorder="0" applyAlignment="0" applyProtection="0"/>
    <xf numFmtId="0" fontId="34" fillId="17" borderId="0" applyNumberFormat="0" applyBorder="0" applyAlignment="0" applyProtection="0"/>
    <xf numFmtId="0" fontId="34" fillId="21" borderId="0" applyNumberFormat="0" applyBorder="0" applyAlignment="0" applyProtection="0"/>
    <xf numFmtId="0" fontId="34" fillId="25" borderId="0" applyNumberFormat="0" applyBorder="0" applyAlignment="0" applyProtection="0"/>
    <xf numFmtId="0" fontId="34" fillId="29" borderId="0" applyNumberFormat="0" applyBorder="0" applyAlignment="0" applyProtection="0"/>
    <xf numFmtId="0" fontId="34" fillId="33" borderId="0" applyNumberFormat="0" applyBorder="0" applyAlignment="0" applyProtection="0"/>
    <xf numFmtId="0" fontId="34" fillId="14" borderId="0" applyNumberFormat="0" applyBorder="0" applyAlignment="0" applyProtection="0"/>
    <xf numFmtId="0" fontId="34" fillId="18" borderId="0" applyNumberFormat="0" applyBorder="0" applyAlignment="0" applyProtection="0"/>
    <xf numFmtId="0" fontId="34" fillId="22" borderId="0" applyNumberFormat="0" applyBorder="0" applyAlignment="0" applyProtection="0"/>
    <xf numFmtId="0" fontId="34" fillId="26" borderId="0" applyNumberFormat="0" applyBorder="0" applyAlignment="0" applyProtection="0"/>
    <xf numFmtId="0" fontId="34" fillId="30" borderId="0" applyNumberFormat="0" applyBorder="0" applyAlignment="0" applyProtection="0"/>
    <xf numFmtId="0" fontId="34" fillId="34" borderId="0" applyNumberFormat="0" applyBorder="0" applyAlignment="0" applyProtection="0"/>
    <xf numFmtId="0" fontId="36" fillId="15" borderId="0" applyNumberFormat="0" applyBorder="0" applyAlignment="0" applyProtection="0"/>
    <xf numFmtId="0" fontId="36" fillId="19" borderId="0" applyNumberFormat="0" applyBorder="0" applyAlignment="0" applyProtection="0"/>
    <xf numFmtId="0" fontId="36" fillId="23" borderId="0" applyNumberFormat="0" applyBorder="0" applyAlignment="0" applyProtection="0"/>
    <xf numFmtId="0" fontId="36" fillId="27" borderId="0" applyNumberFormat="0" applyBorder="0" applyAlignment="0" applyProtection="0"/>
    <xf numFmtId="0" fontId="36" fillId="31" borderId="0" applyNumberFormat="0" applyBorder="0" applyAlignment="0" applyProtection="0"/>
    <xf numFmtId="0" fontId="36" fillId="35" borderId="0" applyNumberFormat="0" applyBorder="0" applyAlignment="0" applyProtection="0"/>
    <xf numFmtId="0" fontId="36" fillId="12" borderId="0" applyNumberFormat="0" applyBorder="0" applyAlignment="0" applyProtection="0"/>
    <xf numFmtId="0" fontId="36" fillId="20" borderId="0" applyNumberFormat="0" applyBorder="0" applyAlignment="0" applyProtection="0"/>
    <xf numFmtId="0" fontId="36" fillId="24" borderId="0" applyNumberFormat="0" applyBorder="0" applyAlignment="0" applyProtection="0"/>
    <xf numFmtId="0" fontId="36" fillId="28" borderId="0" applyNumberFormat="0" applyBorder="0" applyAlignment="0" applyProtection="0"/>
    <xf numFmtId="0" fontId="36" fillId="32" borderId="0" applyNumberFormat="0" applyBorder="0" applyAlignment="0" applyProtection="0"/>
    <xf numFmtId="0" fontId="43" fillId="6" borderId="0" applyNumberFormat="0" applyBorder="0" applyAlignment="0" applyProtection="0"/>
    <xf numFmtId="0" fontId="47" fillId="9" borderId="19" applyNumberFormat="0" applyAlignment="0" applyProtection="0"/>
    <xf numFmtId="0" fontId="49" fillId="10" borderId="22" applyNumberFormat="0" applyAlignment="0" applyProtection="0"/>
    <xf numFmtId="0" fontId="51" fillId="0" borderId="0" applyNumberFormat="0" applyFill="0" applyBorder="0" applyAlignment="0" applyProtection="0"/>
    <xf numFmtId="0" fontId="42" fillId="5" borderId="0" applyNumberFormat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5" fillId="8" borderId="19" applyNumberFormat="0" applyAlignment="0" applyProtection="0"/>
    <xf numFmtId="0" fontId="48" fillId="0" borderId="21" applyNumberFormat="0" applyFill="0" applyAlignment="0" applyProtection="0"/>
    <xf numFmtId="0" fontId="44" fillId="7" borderId="0" applyNumberFormat="0" applyBorder="0" applyAlignment="0" applyProtection="0"/>
    <xf numFmtId="0" fontId="34" fillId="11" borderId="23" applyNumberFormat="0" applyFont="0" applyAlignment="0" applyProtection="0"/>
    <xf numFmtId="0" fontId="46" fillId="9" borderId="20" applyNumberFormat="0" applyAlignment="0" applyProtection="0"/>
    <xf numFmtId="0" fontId="38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50" fillId="0" borderId="0" applyNumberFormat="0" applyFill="0" applyBorder="0" applyAlignment="0" applyProtection="0"/>
    <xf numFmtId="0" fontId="34" fillId="0" borderId="0"/>
    <xf numFmtId="9" fontId="33" fillId="0" borderId="0" applyFon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55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</cellStyleXfs>
  <cellXfs count="269">
    <xf numFmtId="0" fontId="0" fillId="0" borderId="0" xfId="0"/>
    <xf numFmtId="2" fontId="13" fillId="0" borderId="1" xfId="0" applyNumberFormat="1" applyFont="1" applyFill="1" applyBorder="1" applyAlignment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165" fontId="14" fillId="0" borderId="1" xfId="0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4" fillId="0" borderId="0" xfId="0" applyFont="1"/>
    <xf numFmtId="0" fontId="19" fillId="0" borderId="10" xfId="0" applyFont="1" applyBorder="1" applyAlignment="1">
      <alignment horizontal="center" vertical="center"/>
    </xf>
    <xf numFmtId="0" fontId="14" fillId="0" borderId="0" xfId="0" applyFont="1" applyAlignment="1"/>
    <xf numFmtId="0" fontId="19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2" fillId="0" borderId="7" xfId="0" applyFont="1" applyFill="1" applyBorder="1" applyAlignment="1"/>
    <xf numFmtId="0" fontId="12" fillId="0" borderId="0" xfId="0" applyFont="1" applyFill="1" applyBorder="1" applyAlignment="1"/>
    <xf numFmtId="0" fontId="14" fillId="0" borderId="0" xfId="0" applyFont="1" applyFill="1"/>
    <xf numFmtId="0" fontId="15" fillId="0" borderId="0" xfId="1" applyFont="1"/>
    <xf numFmtId="0" fontId="15" fillId="0" borderId="0" xfId="1" applyFont="1" applyBorder="1"/>
    <xf numFmtId="0" fontId="22" fillId="0" borderId="0" xfId="1" applyFont="1"/>
    <xf numFmtId="0" fontId="19" fillId="0" borderId="0" xfId="1" applyFont="1"/>
    <xf numFmtId="0" fontId="23" fillId="0" borderId="0" xfId="1" applyFont="1" applyAlignment="1">
      <alignment horizontal="center"/>
    </xf>
    <xf numFmtId="0" fontId="24" fillId="0" borderId="0" xfId="1" applyFont="1" applyBorder="1"/>
    <xf numFmtId="0" fontId="19" fillId="0" borderId="0" xfId="1" applyFont="1" applyBorder="1"/>
    <xf numFmtId="0" fontId="19" fillId="0" borderId="0" xfId="1" applyFont="1" applyBorder="1" applyAlignment="1">
      <alignment horizontal="right"/>
    </xf>
    <xf numFmtId="0" fontId="19" fillId="0" borderId="0" xfId="1" applyFont="1" applyAlignment="1"/>
    <xf numFmtId="0" fontId="25" fillId="0" borderId="0" xfId="1" applyFont="1" applyAlignment="1">
      <alignment horizontal="center"/>
    </xf>
    <xf numFmtId="0" fontId="22" fillId="0" borderId="0" xfId="1" applyFont="1" applyBorder="1" applyAlignment="1">
      <alignment horizontal="center"/>
    </xf>
    <xf numFmtId="0" fontId="22" fillId="0" borderId="0" xfId="1" applyFont="1" applyAlignment="1">
      <alignment horizontal="center"/>
    </xf>
    <xf numFmtId="0" fontId="16" fillId="0" borderId="0" xfId="1" applyFont="1" applyBorder="1" applyAlignment="1"/>
    <xf numFmtId="0" fontId="16" fillId="0" borderId="0" xfId="1" applyFont="1" applyBorder="1" applyAlignment="1">
      <alignment horizontal="center"/>
    </xf>
    <xf numFmtId="0" fontId="19" fillId="0" borderId="0" xfId="1" applyFont="1" applyAlignment="1">
      <alignment horizontal="center"/>
    </xf>
    <xf numFmtId="0" fontId="19" fillId="0" borderId="0" xfId="1" applyFont="1" applyAlignment="1">
      <alignment horizontal="right" vertical="center"/>
    </xf>
    <xf numFmtId="0" fontId="26" fillId="0" borderId="0" xfId="1" applyFont="1" applyBorder="1" applyAlignment="1"/>
    <xf numFmtId="0" fontId="27" fillId="0" borderId="0" xfId="1" applyFont="1" applyAlignment="1">
      <alignment horizontal="right" vertical="center"/>
    </xf>
    <xf numFmtId="0" fontId="18" fillId="0" borderId="7" xfId="1" applyFont="1" applyBorder="1"/>
    <xf numFmtId="0" fontId="11" fillId="0" borderId="0" xfId="1" applyFont="1" applyBorder="1" applyAlignment="1"/>
    <xf numFmtId="0" fontId="19" fillId="0" borderId="0" xfId="1" applyFont="1" applyBorder="1" applyAlignment="1">
      <alignment horizontal="center"/>
    </xf>
    <xf numFmtId="49" fontId="19" fillId="0" borderId="0" xfId="1" applyNumberFormat="1" applyFont="1" applyBorder="1"/>
    <xf numFmtId="0" fontId="27" fillId="0" borderId="0" xfId="1" applyFont="1"/>
    <xf numFmtId="0" fontId="27" fillId="0" borderId="0" xfId="1" applyFont="1" applyBorder="1" applyAlignment="1">
      <alignment horizontal="center"/>
    </xf>
    <xf numFmtId="0" fontId="19" fillId="0" borderId="0" xfId="1" applyFont="1" applyBorder="1" applyAlignment="1"/>
    <xf numFmtId="0" fontId="11" fillId="0" borderId="0" xfId="1" applyFont="1" applyBorder="1" applyAlignment="1">
      <alignment vertical="center" wrapText="1"/>
    </xf>
    <xf numFmtId="1" fontId="11" fillId="0" borderId="0" xfId="1" applyNumberFormat="1" applyFont="1" applyBorder="1" applyAlignment="1">
      <alignment horizontal="center"/>
    </xf>
    <xf numFmtId="167" fontId="11" fillId="0" borderId="0" xfId="1" applyNumberFormat="1" applyFont="1" applyBorder="1" applyAlignment="1"/>
    <xf numFmtId="0" fontId="11" fillId="0" borderId="0" xfId="1" applyFont="1"/>
    <xf numFmtId="0" fontId="11" fillId="0" borderId="0" xfId="1" applyFont="1" applyBorder="1"/>
    <xf numFmtId="0" fontId="19" fillId="0" borderId="7" xfId="1" applyFont="1" applyBorder="1"/>
    <xf numFmtId="164" fontId="18" fillId="0" borderId="7" xfId="1" applyNumberFormat="1" applyFont="1" applyBorder="1" applyAlignment="1"/>
    <xf numFmtId="0" fontId="18" fillId="0" borderId="7" xfId="1" applyFont="1" applyBorder="1" applyAlignment="1"/>
    <xf numFmtId="0" fontId="30" fillId="0" borderId="0" xfId="1" applyFont="1"/>
    <xf numFmtId="0" fontId="11" fillId="0" borderId="7" xfId="1" applyFont="1" applyBorder="1"/>
    <xf numFmtId="0" fontId="31" fillId="0" borderId="7" xfId="1" applyFont="1" applyBorder="1"/>
    <xf numFmtId="0" fontId="30" fillId="0" borderId="7" xfId="1" applyFont="1" applyBorder="1"/>
    <xf numFmtId="0" fontId="31" fillId="0" borderId="0" xfId="1" applyFont="1"/>
    <xf numFmtId="0" fontId="17" fillId="0" borderId="0" xfId="1" applyFont="1" applyBorder="1" applyAlignment="1"/>
    <xf numFmtId="0" fontId="11" fillId="0" borderId="0" xfId="1" applyFont="1" applyAlignment="1"/>
    <xf numFmtId="0" fontId="30" fillId="0" borderId="0" xfId="1" applyFont="1" applyAlignment="1"/>
    <xf numFmtId="0" fontId="31" fillId="0" borderId="0" xfId="1" applyFont="1" applyAlignment="1"/>
    <xf numFmtId="0" fontId="18" fillId="0" borderId="0" xfId="1" applyFont="1"/>
    <xf numFmtId="0" fontId="27" fillId="0" borderId="0" xfId="1" applyFont="1" applyAlignment="1">
      <alignment shrinkToFit="1"/>
    </xf>
    <xf numFmtId="0" fontId="31" fillId="0" borderId="0" xfId="1" applyFont="1" applyBorder="1" applyAlignment="1"/>
    <xf numFmtId="0" fontId="11" fillId="0" borderId="7" xfId="1" applyFont="1" applyBorder="1" applyAlignment="1">
      <alignment horizontal="left"/>
    </xf>
    <xf numFmtId="0" fontId="30" fillId="0" borderId="7" xfId="1" applyFont="1" applyBorder="1" applyAlignment="1">
      <alignment vertical="justify"/>
    </xf>
    <xf numFmtId="0" fontId="18" fillId="0" borderId="0" xfId="1" applyFont="1" applyBorder="1"/>
    <xf numFmtId="0" fontId="31" fillId="0" borderId="0" xfId="1" applyFont="1" applyBorder="1"/>
    <xf numFmtId="0" fontId="11" fillId="4" borderId="5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14" fillId="4" borderId="5" xfId="0" applyFont="1" applyFill="1" applyBorder="1" applyAlignment="1">
      <alignment horizontal="center"/>
    </xf>
    <xf numFmtId="0" fontId="12" fillId="4" borderId="7" xfId="0" applyFont="1" applyFill="1" applyBorder="1" applyAlignment="1"/>
    <xf numFmtId="164" fontId="18" fillId="4" borderId="7" xfId="1" applyNumberFormat="1" applyFont="1" applyFill="1" applyBorder="1" applyAlignment="1">
      <alignment horizontal="center" vertical="center"/>
    </xf>
    <xf numFmtId="0" fontId="29" fillId="4" borderId="7" xfId="0" applyFont="1" applyFill="1" applyBorder="1" applyAlignment="1">
      <alignment horizontal="center" vertical="center"/>
    </xf>
    <xf numFmtId="0" fontId="18" fillId="0" borderId="7" xfId="1" applyFont="1" applyBorder="1" applyAlignment="1">
      <alignment vertical="center"/>
    </xf>
    <xf numFmtId="0" fontId="11" fillId="0" borderId="7" xfId="1" applyFont="1" applyBorder="1" applyAlignment="1">
      <alignment horizontal="center" vertical="center"/>
    </xf>
    <xf numFmtId="0" fontId="12" fillId="0" borderId="2" xfId="0" applyFont="1" applyFill="1" applyBorder="1" applyAlignment="1"/>
    <xf numFmtId="0" fontId="30" fillId="0" borderId="0" xfId="1" applyFont="1" applyFill="1" applyBorder="1" applyAlignment="1">
      <alignment horizontal="center" wrapText="1" shrinkToFit="1"/>
    </xf>
    <xf numFmtId="0" fontId="31" fillId="0" borderId="0" xfId="1" applyFont="1" applyFill="1" applyBorder="1" applyAlignment="1">
      <alignment horizontal="center" wrapText="1" shrinkToFit="1"/>
    </xf>
    <xf numFmtId="49" fontId="27" fillId="4" borderId="7" xfId="1" applyNumberFormat="1" applyFont="1" applyFill="1" applyBorder="1" applyAlignment="1"/>
    <xf numFmtId="0" fontId="27" fillId="4" borderId="7" xfId="1" applyFont="1" applyFill="1" applyBorder="1" applyAlignment="1">
      <alignment horizontal="left" vertical="center"/>
    </xf>
    <xf numFmtId="165" fontId="14" fillId="0" borderId="12" xfId="0" applyNumberFormat="1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/>
    </xf>
    <xf numFmtId="14" fontId="14" fillId="0" borderId="5" xfId="0" applyNumberFormat="1" applyFont="1" applyFill="1" applyBorder="1" applyAlignment="1">
      <alignment horizontal="center"/>
    </xf>
    <xf numFmtId="0" fontId="18" fillId="4" borderId="7" xfId="1" applyFont="1" applyFill="1" applyBorder="1" applyAlignment="1">
      <alignment vertical="center"/>
    </xf>
    <xf numFmtId="0" fontId="18" fillId="4" borderId="7" xfId="1" applyFont="1" applyFill="1" applyBorder="1"/>
    <xf numFmtId="0" fontId="11" fillId="4" borderId="5" xfId="0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vertical="center"/>
    </xf>
    <xf numFmtId="49" fontId="11" fillId="3" borderId="1" xfId="0" applyNumberFormat="1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14" fillId="0" borderId="11" xfId="0" applyFont="1" applyBorder="1" applyAlignment="1">
      <alignment horizontal="center"/>
    </xf>
    <xf numFmtId="0" fontId="13" fillId="2" borderId="8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/>
    </xf>
    <xf numFmtId="0" fontId="11" fillId="0" borderId="10" xfId="0" applyFont="1" applyBorder="1" applyAlignment="1">
      <alignment horizontal="center" vertical="center" wrapText="1"/>
    </xf>
    <xf numFmtId="2" fontId="13" fillId="0" borderId="1" xfId="0" applyNumberFormat="1" applyFont="1" applyFill="1" applyBorder="1" applyAlignment="1">
      <alignment horizontal="center" vertical="center"/>
    </xf>
    <xf numFmtId="49" fontId="35" fillId="36" borderId="8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0" fillId="37" borderId="0" xfId="0" applyFill="1"/>
    <xf numFmtId="0" fontId="55" fillId="0" borderId="0" xfId="116"/>
    <xf numFmtId="0" fontId="18" fillId="4" borderId="7" xfId="1" applyFont="1" applyFill="1" applyBorder="1" applyAlignment="1">
      <alignment horizontal="center" vertical="center"/>
    </xf>
    <xf numFmtId="0" fontId="31" fillId="0" borderId="0" xfId="1" applyFont="1" applyBorder="1" applyAlignment="1">
      <alignment horizontal="center"/>
    </xf>
    <xf numFmtId="0" fontId="18" fillId="4" borderId="7" xfId="1" applyNumberFormat="1" applyFont="1" applyFill="1" applyBorder="1" applyAlignment="1">
      <alignment horizontal="center" vertical="center"/>
    </xf>
    <xf numFmtId="0" fontId="30" fillId="0" borderId="0" xfId="1" applyFont="1" applyBorder="1" applyAlignment="1">
      <alignment horizontal="center" wrapText="1" shrinkToFit="1"/>
    </xf>
    <xf numFmtId="0" fontId="31" fillId="0" borderId="0" xfId="1" applyFont="1" applyBorder="1" applyAlignment="1">
      <alignment horizontal="center" wrapText="1" shrinkToFit="1"/>
    </xf>
    <xf numFmtId="22" fontId="0" fillId="0" borderId="0" xfId="0" applyNumberFormat="1"/>
    <xf numFmtId="0" fontId="0" fillId="0" borderId="25" xfId="0" applyBorder="1"/>
    <xf numFmtId="0" fontId="14" fillId="0" borderId="26" xfId="0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6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30" xfId="0" applyBorder="1" applyAlignment="1">
      <alignment horizontal="left"/>
    </xf>
    <xf numFmtId="0" fontId="56" fillId="0" borderId="1" xfId="0" applyFont="1" applyBorder="1" applyAlignment="1">
      <alignment horizontal="right" vertical="center" wrapText="1"/>
    </xf>
    <xf numFmtId="14" fontId="0" fillId="0" borderId="30" xfId="0" applyNumberFormat="1" applyBorder="1"/>
    <xf numFmtId="49" fontId="11" fillId="2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65" fontId="14" fillId="2" borderId="31" xfId="0" applyNumberFormat="1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59" fillId="0" borderId="0" xfId="0" applyFo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165" fontId="11" fillId="2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11" fillId="0" borderId="1" xfId="0" applyNumberFormat="1" applyFont="1" applyFill="1" applyBorder="1" applyAlignment="1">
      <alignment horizontal="center" vertical="center"/>
    </xf>
    <xf numFmtId="165" fontId="14" fillId="2" borderId="32" xfId="0" applyNumberFormat="1" applyFont="1" applyFill="1" applyBorder="1" applyAlignment="1">
      <alignment horizontal="center" vertical="center"/>
    </xf>
    <xf numFmtId="49" fontId="27" fillId="4" borderId="7" xfId="1" applyNumberFormat="1" applyFont="1" applyFill="1" applyBorder="1" applyAlignment="1">
      <alignment horizontal="left" vertical="center"/>
    </xf>
    <xf numFmtId="0" fontId="0" fillId="3" borderId="1" xfId="0" applyNumberFormat="1" applyFill="1" applyBorder="1" applyAlignment="1">
      <alignment horizontal="center" vertical="center" wrapText="1"/>
    </xf>
    <xf numFmtId="49" fontId="0" fillId="3" borderId="1" xfId="0" applyNumberFormat="1" applyFill="1" applyBorder="1" applyAlignment="1">
      <alignment horizontal="center" vertical="center" wrapText="1"/>
    </xf>
    <xf numFmtId="165" fontId="11" fillId="0" borderId="1" xfId="0" applyNumberFormat="1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0" borderId="11" xfId="0" applyFont="1" applyBorder="1" applyAlignment="1">
      <alignment horizontal="center"/>
    </xf>
    <xf numFmtId="0" fontId="13" fillId="2" borderId="8" xfId="0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31" fillId="0" borderId="0" xfId="1" applyFont="1" applyBorder="1" applyAlignment="1">
      <alignment horizontal="center"/>
    </xf>
    <xf numFmtId="0" fontId="18" fillId="4" borderId="7" xfId="1" applyFont="1" applyFill="1" applyBorder="1" applyAlignment="1">
      <alignment horizontal="center" vertical="center"/>
    </xf>
    <xf numFmtId="0" fontId="18" fillId="4" borderId="7" xfId="1" applyNumberFormat="1" applyFont="1" applyFill="1" applyBorder="1" applyAlignment="1">
      <alignment horizontal="center" vertical="center"/>
    </xf>
    <xf numFmtId="0" fontId="30" fillId="0" borderId="0" xfId="1" applyFont="1" applyBorder="1" applyAlignment="1">
      <alignment horizontal="center" wrapText="1" shrinkToFit="1"/>
    </xf>
    <xf numFmtId="0" fontId="31" fillId="0" borderId="0" xfId="1" applyFont="1" applyBorder="1" applyAlignment="1">
      <alignment horizontal="center" wrapText="1" shrinkToFit="1"/>
    </xf>
    <xf numFmtId="2" fontId="13" fillId="0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169" fontId="0" fillId="0" borderId="0" xfId="0" applyNumberFormat="1" applyAlignment="1">
      <alignment horizontal="center" vertical="center" wrapText="1"/>
    </xf>
    <xf numFmtId="0" fontId="0" fillId="0" borderId="0" xfId="0" applyBorder="1"/>
    <xf numFmtId="0" fontId="11" fillId="0" borderId="11" xfId="0" applyFont="1" applyBorder="1" applyAlignment="1">
      <alignment horizontal="left" wrapText="1"/>
    </xf>
    <xf numFmtId="0" fontId="11" fillId="0" borderId="10" xfId="0" applyFont="1" applyBorder="1" applyAlignment="1">
      <alignment horizontal="left" wrapText="1"/>
    </xf>
    <xf numFmtId="0" fontId="14" fillId="0" borderId="4" xfId="0" applyFont="1" applyBorder="1" applyAlignment="1"/>
    <xf numFmtId="0" fontId="14" fillId="0" borderId="6" xfId="0" applyFont="1" applyBorder="1" applyAlignment="1"/>
    <xf numFmtId="0" fontId="11" fillId="0" borderId="10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0" borderId="11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left" vertical="center"/>
    </xf>
    <xf numFmtId="0" fontId="11" fillId="0" borderId="6" xfId="0" applyFont="1" applyBorder="1" applyAlignment="1">
      <alignment vertical="center"/>
    </xf>
    <xf numFmtId="0" fontId="14" fillId="0" borderId="11" xfId="0" applyFont="1" applyBorder="1" applyAlignment="1"/>
    <xf numFmtId="0" fontId="14" fillId="0" borderId="10" xfId="0" applyFont="1" applyBorder="1" applyAlignment="1"/>
    <xf numFmtId="0" fontId="11" fillId="0" borderId="6" xfId="0" applyFont="1" applyBorder="1" applyAlignment="1">
      <alignment horizontal="left" vertical="center"/>
    </xf>
    <xf numFmtId="0" fontId="14" fillId="0" borderId="12" xfId="0" applyFont="1" applyBorder="1" applyAlignment="1"/>
    <xf numFmtId="49" fontId="52" fillId="4" borderId="4" xfId="2" applyNumberFormat="1" applyFont="1" applyFill="1" applyBorder="1" applyAlignment="1">
      <alignment horizontal="center" vertical="center" wrapText="1"/>
    </xf>
    <xf numFmtId="49" fontId="52" fillId="4" borderId="5" xfId="2" applyNumberFormat="1" applyFont="1" applyFill="1" applyBorder="1" applyAlignment="1">
      <alignment horizontal="center" vertical="center" wrapText="1"/>
    </xf>
    <xf numFmtId="0" fontId="14" fillId="4" borderId="6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49" fontId="13" fillId="2" borderId="11" xfId="0" applyNumberFormat="1" applyFont="1" applyFill="1" applyBorder="1" applyAlignment="1">
      <alignment horizontal="center" vertical="center" wrapText="1"/>
    </xf>
    <xf numFmtId="49" fontId="13" fillId="2" borderId="10" xfId="0" applyNumberFormat="1" applyFont="1" applyFill="1" applyBorder="1" applyAlignment="1">
      <alignment horizontal="center" vertical="center" wrapText="1"/>
    </xf>
    <xf numFmtId="49" fontId="13" fillId="2" borderId="12" xfId="0" applyNumberFormat="1" applyFont="1" applyFill="1" applyBorder="1" applyAlignment="1">
      <alignment horizontal="center" vertical="center" wrapText="1"/>
    </xf>
    <xf numFmtId="49" fontId="13" fillId="2" borderId="2" xfId="0" applyNumberFormat="1" applyFont="1" applyFill="1" applyBorder="1" applyAlignment="1">
      <alignment horizontal="center" vertical="center" wrapText="1"/>
    </xf>
    <xf numFmtId="49" fontId="13" fillId="2" borderId="7" xfId="0" applyNumberFormat="1" applyFont="1" applyFill="1" applyBorder="1" applyAlignment="1">
      <alignment horizontal="center" vertical="center" wrapText="1"/>
    </xf>
    <xf numFmtId="49" fontId="13" fillId="2" borderId="3" xfId="0" applyNumberFormat="1" applyFont="1" applyFill="1" applyBorder="1" applyAlignment="1">
      <alignment horizontal="center" vertical="center" wrapText="1"/>
    </xf>
    <xf numFmtId="2" fontId="13" fillId="0" borderId="4" xfId="0" applyNumberFormat="1" applyFont="1" applyFill="1" applyBorder="1" applyAlignment="1">
      <alignment horizontal="center" vertical="center"/>
    </xf>
    <xf numFmtId="2" fontId="13" fillId="0" borderId="6" xfId="0" applyNumberFormat="1" applyFont="1" applyFill="1" applyBorder="1" applyAlignment="1">
      <alignment horizontal="center" vertical="center"/>
    </xf>
    <xf numFmtId="2" fontId="13" fillId="0" borderId="5" xfId="0" applyNumberFormat="1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left"/>
    </xf>
    <xf numFmtId="0" fontId="14" fillId="0" borderId="6" xfId="0" applyFont="1" applyBorder="1" applyAlignment="1">
      <alignment horizontal="left"/>
    </xf>
    <xf numFmtId="0" fontId="14" fillId="0" borderId="5" xfId="0" applyFont="1" applyBorder="1" applyAlignment="1">
      <alignment horizontal="left"/>
    </xf>
    <xf numFmtId="0" fontId="13" fillId="0" borderId="8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3" fillId="0" borderId="12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13" xfId="0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1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4" borderId="6" xfId="0" applyFont="1" applyFill="1" applyBorder="1" applyAlignment="1">
      <alignment horizontal="center" vertical="center"/>
    </xf>
    <xf numFmtId="0" fontId="11" fillId="4" borderId="6" xfId="0" applyFont="1" applyFill="1" applyBorder="1" applyAlignment="1"/>
    <xf numFmtId="0" fontId="14" fillId="4" borderId="5" xfId="0" applyFont="1" applyFill="1" applyBorder="1" applyAlignment="1"/>
    <xf numFmtId="0" fontId="11" fillId="4" borderId="5" xfId="0" applyFont="1" applyFill="1" applyBorder="1" applyAlignment="1">
      <alignment vertical="center"/>
    </xf>
    <xf numFmtId="0" fontId="12" fillId="0" borderId="4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10" xfId="0" applyFont="1" applyBorder="1" applyAlignment="1">
      <alignment wrapText="1"/>
    </xf>
    <xf numFmtId="0" fontId="12" fillId="0" borderId="12" xfId="0" applyFont="1" applyBorder="1" applyAlignment="1">
      <alignment wrapText="1"/>
    </xf>
    <xf numFmtId="0" fontId="12" fillId="0" borderId="9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1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2" fillId="0" borderId="7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1" fillId="0" borderId="10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2" fillId="0" borderId="9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11" fontId="11" fillId="4" borderId="11" xfId="0" applyNumberFormat="1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/>
    </xf>
    <xf numFmtId="166" fontId="12" fillId="4" borderId="4" xfId="0" applyNumberFormat="1" applyFont="1" applyFill="1" applyBorder="1" applyAlignment="1">
      <alignment horizontal="center" vertical="center" wrapText="1"/>
    </xf>
    <xf numFmtId="166" fontId="12" fillId="4" borderId="6" xfId="0" applyNumberFormat="1" applyFont="1" applyFill="1" applyBorder="1" applyAlignment="1">
      <alignment horizontal="center" vertical="center" wrapText="1"/>
    </xf>
    <xf numFmtId="166" fontId="12" fillId="4" borderId="5" xfId="0" applyNumberFormat="1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0" fontId="30" fillId="0" borderId="0" xfId="1" applyFont="1" applyBorder="1" applyAlignment="1">
      <alignment horizontal="center"/>
    </xf>
    <xf numFmtId="0" fontId="31" fillId="0" borderId="0" xfId="1" applyFont="1" applyBorder="1" applyAlignment="1">
      <alignment horizontal="center"/>
    </xf>
    <xf numFmtId="0" fontId="31" fillId="0" borderId="0" xfId="1" applyFont="1" applyAlignment="1">
      <alignment horizontal="center"/>
    </xf>
    <xf numFmtId="0" fontId="18" fillId="4" borderId="7" xfId="1" applyFont="1" applyFill="1" applyBorder="1" applyAlignment="1">
      <alignment horizontal="center"/>
    </xf>
    <xf numFmtId="0" fontId="18" fillId="4" borderId="7" xfId="1" applyFont="1" applyFill="1" applyBorder="1" applyAlignment="1">
      <alignment horizontal="right" vertical="center"/>
    </xf>
    <xf numFmtId="0" fontId="18" fillId="0" borderId="0" xfId="1" applyFont="1" applyAlignment="1">
      <alignment horizontal="right"/>
    </xf>
    <xf numFmtId="168" fontId="18" fillId="4" borderId="7" xfId="1" applyNumberFormat="1" applyFont="1" applyFill="1" applyBorder="1" applyAlignment="1">
      <alignment horizontal="right" vertical="center" wrapText="1"/>
    </xf>
    <xf numFmtId="166" fontId="18" fillId="4" borderId="7" xfId="1" applyNumberFormat="1" applyFont="1" applyFill="1" applyBorder="1" applyAlignment="1">
      <alignment horizontal="center" vertical="center"/>
    </xf>
    <xf numFmtId="0" fontId="18" fillId="4" borderId="7" xfId="1" applyFont="1" applyFill="1" applyBorder="1" applyAlignment="1">
      <alignment horizontal="center" vertical="center"/>
    </xf>
    <xf numFmtId="0" fontId="18" fillId="4" borderId="7" xfId="1" applyNumberFormat="1" applyFont="1" applyFill="1" applyBorder="1" applyAlignment="1">
      <alignment horizontal="center" vertical="center"/>
    </xf>
    <xf numFmtId="14" fontId="18" fillId="4" borderId="7" xfId="1" applyNumberFormat="1" applyFont="1" applyFill="1" applyBorder="1" applyAlignment="1">
      <alignment horizontal="center" vertical="center"/>
    </xf>
    <xf numFmtId="0" fontId="30" fillId="0" borderId="0" xfId="1" applyFont="1" applyBorder="1" applyAlignment="1">
      <alignment horizontal="center" wrapText="1" shrinkToFit="1"/>
    </xf>
    <xf numFmtId="0" fontId="31" fillId="0" borderId="0" xfId="1" applyFont="1" applyBorder="1" applyAlignment="1">
      <alignment horizontal="center" wrapText="1" shrinkToFit="1"/>
    </xf>
    <xf numFmtId="0" fontId="30" fillId="0" borderId="10" xfId="1" applyFont="1" applyBorder="1" applyAlignment="1">
      <alignment horizontal="center" wrapText="1" shrinkToFit="1"/>
    </xf>
    <xf numFmtId="0" fontId="18" fillId="4" borderId="7" xfId="1" applyFont="1" applyFill="1" applyBorder="1" applyAlignment="1">
      <alignment horizontal="center" vertical="center" shrinkToFit="1"/>
    </xf>
    <xf numFmtId="0" fontId="28" fillId="4" borderId="0" xfId="1" applyFont="1" applyFill="1" applyBorder="1" applyAlignment="1">
      <alignment horizontal="center" vertical="center" wrapText="1"/>
    </xf>
    <xf numFmtId="0" fontId="27" fillId="0" borderId="0" xfId="1" applyFont="1" applyAlignment="1">
      <alignment horizontal="center"/>
    </xf>
    <xf numFmtId="166" fontId="18" fillId="0" borderId="7" xfId="1" applyNumberFormat="1" applyFont="1" applyFill="1" applyBorder="1" applyAlignment="1">
      <alignment horizontal="center" vertical="center"/>
    </xf>
    <xf numFmtId="0" fontId="19" fillId="0" borderId="0" xfId="1" applyFont="1" applyFill="1" applyAlignment="1">
      <alignment horizontal="center"/>
    </xf>
    <xf numFmtId="0" fontId="27" fillId="0" borderId="0" xfId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 wrapText="1"/>
    </xf>
    <xf numFmtId="2" fontId="13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0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60% - Accent1 2" xfId="19"/>
    <cellStyle name="60% - Accent2 2" xfId="20"/>
    <cellStyle name="60% - Accent3 2" xfId="21"/>
    <cellStyle name="60% - Accent4 2" xfId="22"/>
    <cellStyle name="60% - Accent5 2" xfId="23"/>
    <cellStyle name="60% - Accent6 2" xfId="24"/>
    <cellStyle name="Accent1 2" xfId="25"/>
    <cellStyle name="Accent2 2" xfId="4"/>
    <cellStyle name="Accent3 2" xfId="26"/>
    <cellStyle name="Accent4 2" xfId="27"/>
    <cellStyle name="Accent5 2" xfId="28"/>
    <cellStyle name="Accent6 2" xfId="29"/>
    <cellStyle name="Bad 2" xfId="30"/>
    <cellStyle name="Calculation 2" xfId="31"/>
    <cellStyle name="Check Cell 2" xfId="32"/>
    <cellStyle name="Explanatory Text 2" xfId="33"/>
    <cellStyle name="Good 2" xfId="34"/>
    <cellStyle name="Heading 1 2" xfId="35"/>
    <cellStyle name="Heading 2 2" xfId="36"/>
    <cellStyle name="Heading 3 2" xfId="37"/>
    <cellStyle name="Heading 4 2" xfId="38"/>
    <cellStyle name="Input 2" xfId="39"/>
    <cellStyle name="Linked Cell 2" xfId="40"/>
    <cellStyle name="Neutral 2" xfId="41"/>
    <cellStyle name="Normal 2" xfId="3"/>
    <cellStyle name="Normal 4" xfId="2"/>
    <cellStyle name="Normal 4 10" xfId="81"/>
    <cellStyle name="Normal 4 11" xfId="86"/>
    <cellStyle name="Normal 4 12" xfId="91"/>
    <cellStyle name="Normal 4 13" xfId="97"/>
    <cellStyle name="Normal 4 14" xfId="98"/>
    <cellStyle name="Normal 4 15" xfId="95"/>
    <cellStyle name="Normal 4 16" xfId="111"/>
    <cellStyle name="Normal 4 2" xfId="50"/>
    <cellStyle name="Normal 4 2 10" xfId="94"/>
    <cellStyle name="Normal 4 2 11" xfId="92"/>
    <cellStyle name="Normal 4 2 12" xfId="101"/>
    <cellStyle name="Normal 4 2 13" xfId="105"/>
    <cellStyle name="Normal 4 2 14" xfId="113"/>
    <cellStyle name="Normal 4 2 2" xfId="53"/>
    <cellStyle name="Normal 4 2 3" xfId="59"/>
    <cellStyle name="Normal 4 2 4" xfId="60"/>
    <cellStyle name="Normal 4 2 5" xfId="68"/>
    <cellStyle name="Normal 4 2 6" xfId="73"/>
    <cellStyle name="Normal 4 2 7" xfId="78"/>
    <cellStyle name="Normal 4 2 8" xfId="83"/>
    <cellStyle name="Normal 4 2 9" xfId="88"/>
    <cellStyle name="Normal 4 3" xfId="49"/>
    <cellStyle name="Normal 4 3 10" xfId="100"/>
    <cellStyle name="Normal 4 3 11" xfId="104"/>
    <cellStyle name="Normal 4 3 12" xfId="108"/>
    <cellStyle name="Normal 4 3 13" xfId="110"/>
    <cellStyle name="Normal 4 3 14" xfId="115"/>
    <cellStyle name="Normal 4 3 2" xfId="55"/>
    <cellStyle name="Normal 4 3 3" xfId="63"/>
    <cellStyle name="Normal 4 3 4" xfId="65"/>
    <cellStyle name="Normal 4 3 5" xfId="70"/>
    <cellStyle name="Normal 4 3 6" xfId="75"/>
    <cellStyle name="Normal 4 3 7" xfId="80"/>
    <cellStyle name="Normal 4 3 8" xfId="85"/>
    <cellStyle name="Normal 4 3 9" xfId="90"/>
    <cellStyle name="Normal 4 4" xfId="51"/>
    <cellStyle name="Normal 4 5" xfId="57"/>
    <cellStyle name="Normal 4 6" xfId="56"/>
    <cellStyle name="Normal 4 7" xfId="66"/>
    <cellStyle name="Normal 4 8" xfId="71"/>
    <cellStyle name="Normal 4 9" xfId="76"/>
    <cellStyle name="Normal 5" xfId="52"/>
    <cellStyle name="Normal 5 10" xfId="96"/>
    <cellStyle name="Normal 5 11" xfId="102"/>
    <cellStyle name="Normal 5 12" xfId="106"/>
    <cellStyle name="Normal 5 13" xfId="112"/>
    <cellStyle name="Normal 5 2" xfId="58"/>
    <cellStyle name="Normal 5 3" xfId="61"/>
    <cellStyle name="Normal 5 4" xfId="67"/>
    <cellStyle name="Normal 5 5" xfId="72"/>
    <cellStyle name="Normal 5 6" xfId="77"/>
    <cellStyle name="Normal 5 7" xfId="82"/>
    <cellStyle name="Normal 5 8" xfId="87"/>
    <cellStyle name="Normal 5 9" xfId="93"/>
    <cellStyle name="Note 2" xfId="42"/>
    <cellStyle name="Output 2" xfId="43"/>
    <cellStyle name="Percent 2" xfId="48"/>
    <cellStyle name="Percent 2 10" xfId="99"/>
    <cellStyle name="Percent 2 11" xfId="103"/>
    <cellStyle name="Percent 2 12" xfId="107"/>
    <cellStyle name="Percent 2 13" xfId="109"/>
    <cellStyle name="Percent 2 14" xfId="114"/>
    <cellStyle name="Percent 2 2" xfId="54"/>
    <cellStyle name="Percent 2 3" xfId="62"/>
    <cellStyle name="Percent 2 4" xfId="64"/>
    <cellStyle name="Percent 2 5" xfId="69"/>
    <cellStyle name="Percent 2 6" xfId="74"/>
    <cellStyle name="Percent 2 7" xfId="79"/>
    <cellStyle name="Percent 2 8" xfId="84"/>
    <cellStyle name="Percent 2 9" xfId="89"/>
    <cellStyle name="Title 2" xfId="44"/>
    <cellStyle name="Total 2" xfId="45"/>
    <cellStyle name="Warning Text 2" xfId="46"/>
    <cellStyle name="Гиперссылка" xfId="116" builtinId="8"/>
    <cellStyle name="Обычный" xfId="0" builtinId="0"/>
    <cellStyle name="Обычный 10" xfId="47"/>
    <cellStyle name="Обычный 15" xfId="119"/>
    <cellStyle name="Обычный 2" xfId="1"/>
    <cellStyle name="Обычный 2 2" xfId="6"/>
    <cellStyle name="Обычный 2 4 2" xfId="5"/>
    <cellStyle name="Обычный 5" xfId="118"/>
    <cellStyle name="Обычный 6" xfId="117"/>
  </cellStyles>
  <dxfs count="10">
    <dxf>
      <font>
        <b val="0"/>
        <i/>
        <color theme="4" tint="-0.24994659260841701"/>
      </font>
    </dxf>
    <dxf>
      <font>
        <b val="0"/>
        <i/>
        <color theme="4" tint="-0.24994659260841701"/>
      </font>
    </dxf>
    <dxf>
      <font>
        <b val="0"/>
        <i/>
        <color theme="4" tint="-0.24994659260841701"/>
      </font>
    </dxf>
    <dxf>
      <font>
        <b val="0"/>
        <i/>
        <color theme="4" tint="-0.24994659260841701"/>
      </font>
    </dxf>
    <dxf>
      <font>
        <b val="0"/>
        <i/>
        <color theme="4" tint="-0.24994659260841701"/>
      </font>
    </dxf>
    <dxf>
      <font>
        <b val="0"/>
        <i/>
        <color theme="4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1</xdr:row>
          <xdr:rowOff>114300</xdr:rowOff>
        </xdr:from>
        <xdr:to>
          <xdr:col>23</xdr:col>
          <xdr:colOff>647700</xdr:colOff>
          <xdr:row>2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Считать результаты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133350</xdr:colOff>
          <xdr:row>2</xdr:row>
          <xdr:rowOff>419100</xdr:rowOff>
        </xdr:from>
        <xdr:to>
          <xdr:col>23</xdr:col>
          <xdr:colOff>657225</xdr:colOff>
          <xdr:row>5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Заполнить протокол повторно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123825</xdr:colOff>
          <xdr:row>1</xdr:row>
          <xdr:rowOff>114300</xdr:rowOff>
        </xdr:from>
        <xdr:to>
          <xdr:col>23</xdr:col>
          <xdr:colOff>647700</xdr:colOff>
          <xdr:row>2</xdr:row>
          <xdr:rowOff>390525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Считать результаты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473483</xdr:colOff>
      <xdr:row>0</xdr:row>
      <xdr:rowOff>0</xdr:rowOff>
    </xdr:from>
    <xdr:ext cx="620339" cy="630434"/>
    <xdr:pic>
      <xdr:nvPicPr>
        <xdr:cNvPr id="3" name="Рисунок 2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64583" y="0"/>
          <a:ext cx="620339" cy="630434"/>
        </a:xfrm>
        <a:prstGeom prst="rect">
          <a:avLst/>
        </a:prstGeom>
        <a:noFill/>
        <a:ln w="12700">
          <a:noFill/>
          <a:miter lim="800000"/>
          <a:headEnd/>
          <a:tailEnd/>
        </a:ln>
        <a:effectLst>
          <a:outerShdw blurRad="107950" dist="12700" dir="5400000" algn="ctr">
            <a:srgbClr val="000000"/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473483</xdr:colOff>
      <xdr:row>0</xdr:row>
      <xdr:rowOff>0</xdr:rowOff>
    </xdr:from>
    <xdr:ext cx="620339" cy="630434"/>
    <xdr:pic>
      <xdr:nvPicPr>
        <xdr:cNvPr id="2" name="Рисунок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64583" y="0"/>
          <a:ext cx="620339" cy="630434"/>
        </a:xfrm>
        <a:prstGeom prst="rect">
          <a:avLst/>
        </a:prstGeom>
        <a:noFill/>
        <a:ln w="12700">
          <a:noFill/>
          <a:miter lim="800000"/>
          <a:headEnd/>
          <a:tailEnd/>
        </a:ln>
        <a:effectLst>
          <a:outerShdw blurRad="107950" dist="12700" dir="5400000" algn="ctr">
            <a:srgbClr val="000000"/>
          </a:outerShdw>
        </a:effectLst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Z22"/>
  <sheetViews>
    <sheetView tabSelected="1" view="pageBreakPreview" zoomScale="70" zoomScaleNormal="85" zoomScaleSheetLayoutView="70" zoomScalePageLayoutView="55" workbookViewId="0">
      <selection activeCell="Y1" sqref="Y1"/>
    </sheetView>
  </sheetViews>
  <sheetFormatPr defaultRowHeight="15.75" x14ac:dyDescent="0.25"/>
  <cols>
    <col min="1" max="1" width="3.125" bestFit="1" customWidth="1"/>
    <col min="2" max="2" width="22" bestFit="1" customWidth="1"/>
    <col min="3" max="3" width="5" bestFit="1" customWidth="1"/>
    <col min="4" max="4" width="7.125" bestFit="1" customWidth="1"/>
    <col min="5" max="5" width="29.875" bestFit="1" customWidth="1"/>
    <col min="6" max="6" width="8.875" bestFit="1" customWidth="1"/>
    <col min="7" max="7" width="17.375" bestFit="1" customWidth="1"/>
    <col min="8" max="10" width="9.25" bestFit="1" customWidth="1"/>
    <col min="11" max="12" width="6" customWidth="1"/>
    <col min="13" max="13" width="9.875" customWidth="1"/>
    <col min="14" max="14" width="8.75" bestFit="1" customWidth="1"/>
    <col min="15" max="18" width="8.375" bestFit="1" customWidth="1"/>
    <col min="19" max="19" width="9" bestFit="1" customWidth="1"/>
    <col min="20" max="20" width="8.375" bestFit="1" customWidth="1"/>
    <col min="21" max="21" width="41.75" bestFit="1" customWidth="1"/>
    <col min="22" max="22" width="11.25" bestFit="1" customWidth="1"/>
    <col min="23" max="23" width="13.375" bestFit="1" customWidth="1"/>
    <col min="24" max="24" width="10.875" bestFit="1" customWidth="1"/>
    <col min="25" max="25" width="13.375" bestFit="1" customWidth="1"/>
    <col min="26" max="26" width="5.5" bestFit="1" customWidth="1"/>
  </cols>
  <sheetData>
    <row r="1" spans="1:26" s="83" customFormat="1" ht="46.5" customHeight="1" x14ac:dyDescent="0.25">
      <c r="A1" s="213" t="s">
        <v>80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224" t="s">
        <v>51</v>
      </c>
      <c r="O1" s="225"/>
      <c r="P1" s="225"/>
      <c r="Q1" s="225"/>
      <c r="R1" s="226"/>
      <c r="S1" s="227" t="s">
        <v>10</v>
      </c>
      <c r="T1" s="228"/>
      <c r="U1" s="211" t="s">
        <v>81</v>
      </c>
      <c r="V1" s="212"/>
      <c r="W1" s="7" t="s">
        <v>114</v>
      </c>
      <c r="X1" s="119">
        <v>45297</v>
      </c>
      <c r="Y1" s="120" t="s">
        <v>106</v>
      </c>
      <c r="Z1" s="121">
        <v>4702</v>
      </c>
    </row>
    <row r="2" spans="1:26" s="83" customFormat="1" ht="19.5" customHeight="1" x14ac:dyDescent="0.25">
      <c r="A2" s="216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8"/>
      <c r="N2" s="111" t="s">
        <v>8</v>
      </c>
      <c r="O2" s="239">
        <v>4701</v>
      </c>
      <c r="P2" s="240"/>
      <c r="Q2" s="5"/>
      <c r="R2" s="6"/>
      <c r="S2" s="227" t="s">
        <v>11</v>
      </c>
      <c r="T2" s="228"/>
      <c r="U2" s="227" t="s">
        <v>24</v>
      </c>
      <c r="V2" s="228"/>
      <c r="W2" s="7"/>
    </row>
    <row r="3" spans="1:26" s="83" customFormat="1" ht="39.75" customHeight="1" x14ac:dyDescent="0.25">
      <c r="A3" s="219"/>
      <c r="B3" s="220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1"/>
      <c r="N3" s="236">
        <f>X1</f>
        <v>45297</v>
      </c>
      <c r="O3" s="237"/>
      <c r="P3" s="237"/>
      <c r="Q3" s="237"/>
      <c r="R3" s="238"/>
      <c r="S3" s="231" t="s">
        <v>12</v>
      </c>
      <c r="T3" s="232"/>
      <c r="U3" s="233" t="s">
        <v>147</v>
      </c>
      <c r="V3" s="234"/>
      <c r="W3" s="7"/>
    </row>
    <row r="4" spans="1:26" s="83" customFormat="1" ht="33" customHeight="1" x14ac:dyDescent="0.35">
      <c r="A4" s="222" t="s">
        <v>17</v>
      </c>
      <c r="B4" s="223"/>
      <c r="C4" s="229" t="s">
        <v>18</v>
      </c>
      <c r="D4" s="230"/>
      <c r="E4" s="230"/>
      <c r="F4" s="207" t="s">
        <v>119</v>
      </c>
      <c r="G4" s="210"/>
      <c r="H4" s="159" t="s">
        <v>123</v>
      </c>
      <c r="I4" s="160"/>
      <c r="J4" s="153" t="s">
        <v>86</v>
      </c>
      <c r="K4" s="154"/>
      <c r="L4" s="157" t="s">
        <v>146</v>
      </c>
      <c r="M4" s="158"/>
      <c r="N4" s="235" t="s">
        <v>25</v>
      </c>
      <c r="O4" s="152"/>
      <c r="P4" s="152"/>
      <c r="Q4" s="152"/>
      <c r="R4" s="152"/>
      <c r="S4" s="152"/>
      <c r="T4" s="152"/>
      <c r="U4" s="64">
        <v>0.28999999999999998</v>
      </c>
      <c r="V4" s="8"/>
      <c r="W4" s="7"/>
    </row>
    <row r="5" spans="1:26" s="83" customFormat="1" ht="15.75" customHeight="1" x14ac:dyDescent="0.25">
      <c r="A5" s="201" t="s">
        <v>13</v>
      </c>
      <c r="B5" s="202"/>
      <c r="C5" s="133">
        <v>4</v>
      </c>
      <c r="D5" s="133" t="s">
        <v>20</v>
      </c>
      <c r="E5" s="133">
        <v>20</v>
      </c>
      <c r="F5" s="133" t="s">
        <v>4</v>
      </c>
      <c r="G5" s="143" t="s">
        <v>14</v>
      </c>
      <c r="H5" s="144"/>
      <c r="I5" s="207" t="s">
        <v>119</v>
      </c>
      <c r="J5" s="208"/>
      <c r="K5" s="209"/>
      <c r="L5" s="65" t="s">
        <v>120</v>
      </c>
      <c r="M5" s="7"/>
      <c r="N5" s="7"/>
      <c r="O5" s="203"/>
      <c r="P5" s="204"/>
      <c r="Q5" s="204"/>
      <c r="R5" s="204"/>
      <c r="S5" s="204"/>
      <c r="T5" s="204"/>
      <c r="U5" s="204"/>
      <c r="V5" s="204"/>
      <c r="W5" s="7"/>
      <c r="Y5" s="83" t="s">
        <v>115</v>
      </c>
    </row>
    <row r="6" spans="1:26" s="83" customFormat="1" x14ac:dyDescent="0.25">
      <c r="A6" s="153" t="s">
        <v>52</v>
      </c>
      <c r="B6" s="154"/>
      <c r="C6" s="154" t="s">
        <v>77</v>
      </c>
      <c r="D6" s="154"/>
      <c r="E6" s="154"/>
      <c r="F6" s="154"/>
      <c r="G6" s="154"/>
      <c r="H6" s="154"/>
      <c r="I6" s="154"/>
      <c r="J6" s="154"/>
      <c r="K6" s="154"/>
      <c r="L6" s="146"/>
      <c r="M6" s="146"/>
      <c r="N6" s="146"/>
      <c r="O6" s="156"/>
      <c r="P6" s="9"/>
      <c r="Q6" s="9"/>
      <c r="R6" s="9"/>
      <c r="S6" s="9"/>
      <c r="T6" s="9"/>
      <c r="U6" s="10"/>
      <c r="V6" s="10"/>
      <c r="W6" s="7"/>
      <c r="Y6" s="118">
        <v>1</v>
      </c>
    </row>
    <row r="7" spans="1:26" s="83" customFormat="1" ht="19.5" customHeight="1" x14ac:dyDescent="0.25">
      <c r="A7" s="205" t="s">
        <v>15</v>
      </c>
      <c r="B7" s="206"/>
      <c r="C7" s="206"/>
      <c r="D7" s="206"/>
      <c r="E7" s="150"/>
      <c r="F7" s="147" t="str">
        <f>Config!$B$8</f>
        <v>Калибратор Fluke 707 Ex</v>
      </c>
      <c r="G7" s="147"/>
      <c r="H7" s="147"/>
      <c r="I7" s="147"/>
      <c r="J7" s="147"/>
      <c r="K7" s="148"/>
      <c r="L7" s="149" t="s">
        <v>19</v>
      </c>
      <c r="M7" s="150"/>
      <c r="N7" s="130">
        <f>Config!$B$9</f>
        <v>3697095</v>
      </c>
      <c r="O7" s="131" t="s">
        <v>21</v>
      </c>
      <c r="P7" s="77">
        <f>Config!$B$10</f>
        <v>1.4999999999999999E-2</v>
      </c>
      <c r="Q7" s="153" t="s">
        <v>22</v>
      </c>
      <c r="R7" s="154"/>
      <c r="S7" s="78" t="str">
        <f>Config!$B$11</f>
        <v>0÷24 mA</v>
      </c>
      <c r="T7" s="149" t="s">
        <v>16</v>
      </c>
      <c r="U7" s="150"/>
      <c r="V7" s="79">
        <f>Config!$B$12</f>
        <v>45002</v>
      </c>
      <c r="W7" s="7"/>
    </row>
    <row r="8" spans="1:26" s="83" customFormat="1" ht="12.75" customHeight="1" x14ac:dyDescent="0.25">
      <c r="A8" s="151" t="s">
        <v>23</v>
      </c>
      <c r="B8" s="152"/>
      <c r="C8" s="152"/>
      <c r="D8" s="152"/>
      <c r="E8" s="152"/>
      <c r="F8" s="173" t="s">
        <v>53</v>
      </c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5"/>
      <c r="U8" s="176"/>
      <c r="V8" s="7"/>
      <c r="W8" s="7"/>
    </row>
    <row r="9" spans="1:26" s="83" customFormat="1" ht="15.75" customHeight="1" x14ac:dyDescent="0.25">
      <c r="A9" s="145" t="s">
        <v>54</v>
      </c>
      <c r="B9" s="146"/>
      <c r="C9" s="146"/>
      <c r="D9" s="146"/>
      <c r="E9" s="146"/>
      <c r="F9" s="146"/>
      <c r="G9" s="82">
        <f>Config!$B$4</f>
        <v>98</v>
      </c>
      <c r="H9" s="151" t="s">
        <v>55</v>
      </c>
      <c r="I9" s="155"/>
      <c r="J9" s="155"/>
      <c r="K9" s="155"/>
      <c r="L9" s="155"/>
      <c r="M9" s="82">
        <f>Config!$B$3</f>
        <v>21</v>
      </c>
      <c r="N9" s="145" t="s">
        <v>56</v>
      </c>
      <c r="O9" s="146"/>
      <c r="P9" s="146"/>
      <c r="Q9" s="146"/>
      <c r="R9" s="146"/>
      <c r="S9" s="66">
        <f>Config!$B$5</f>
        <v>40</v>
      </c>
      <c r="T9" s="7"/>
      <c r="U9" s="7"/>
      <c r="V9" s="7"/>
      <c r="W9" s="7"/>
    </row>
    <row r="10" spans="1:26" s="83" customForma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11"/>
      <c r="V10" s="11"/>
      <c r="W10" s="7"/>
    </row>
    <row r="11" spans="1:26" s="83" customFormat="1" ht="15.75" customHeight="1" x14ac:dyDescent="0.25">
      <c r="A11" s="161" t="s">
        <v>8</v>
      </c>
      <c r="B11" s="180" t="s">
        <v>0</v>
      </c>
      <c r="C11" s="164" t="s">
        <v>9</v>
      </c>
      <c r="D11" s="165"/>
      <c r="E11" s="166"/>
      <c r="F11" s="192" t="s">
        <v>26</v>
      </c>
      <c r="G11" s="193"/>
      <c r="H11" s="193"/>
      <c r="I11" s="193"/>
      <c r="J11" s="194"/>
      <c r="K11" s="170" t="s">
        <v>27</v>
      </c>
      <c r="L11" s="171"/>
      <c r="M11" s="171"/>
      <c r="N11" s="171"/>
      <c r="O11" s="172"/>
      <c r="P11" s="183" t="s">
        <v>5</v>
      </c>
      <c r="Q11" s="184"/>
      <c r="R11" s="184"/>
      <c r="S11" s="184"/>
      <c r="T11" s="185"/>
      <c r="U11" s="177" t="s">
        <v>6</v>
      </c>
      <c r="V11" s="177" t="s">
        <v>7</v>
      </c>
      <c r="W11" s="7"/>
    </row>
    <row r="12" spans="1:26" s="83" customFormat="1" x14ac:dyDescent="0.25">
      <c r="A12" s="162"/>
      <c r="B12" s="181"/>
      <c r="C12" s="167"/>
      <c r="D12" s="168"/>
      <c r="E12" s="169"/>
      <c r="F12" s="195"/>
      <c r="G12" s="196"/>
      <c r="H12" s="196"/>
      <c r="I12" s="196"/>
      <c r="J12" s="197"/>
      <c r="K12" s="139">
        <v>4</v>
      </c>
      <c r="L12" s="139">
        <v>8</v>
      </c>
      <c r="M12" s="139">
        <v>12</v>
      </c>
      <c r="N12" s="139">
        <v>16</v>
      </c>
      <c r="O12" s="139">
        <v>20</v>
      </c>
      <c r="P12" s="186"/>
      <c r="Q12" s="187"/>
      <c r="R12" s="187"/>
      <c r="S12" s="187"/>
      <c r="T12" s="188"/>
      <c r="U12" s="178"/>
      <c r="V12" s="178"/>
      <c r="W12" s="7"/>
    </row>
    <row r="13" spans="1:26" s="83" customFormat="1" x14ac:dyDescent="0.25">
      <c r="A13" s="163"/>
      <c r="B13" s="182"/>
      <c r="C13" s="132" t="s">
        <v>1</v>
      </c>
      <c r="D13" s="132" t="s">
        <v>2</v>
      </c>
      <c r="E13" s="132" t="s">
        <v>3</v>
      </c>
      <c r="F13" s="198"/>
      <c r="G13" s="199"/>
      <c r="H13" s="199"/>
      <c r="I13" s="199"/>
      <c r="J13" s="200"/>
      <c r="K13" s="170" t="s">
        <v>28</v>
      </c>
      <c r="L13" s="171"/>
      <c r="M13" s="171"/>
      <c r="N13" s="171"/>
      <c r="O13" s="172"/>
      <c r="P13" s="189"/>
      <c r="Q13" s="190"/>
      <c r="R13" s="190"/>
      <c r="S13" s="190"/>
      <c r="T13" s="191"/>
      <c r="U13" s="179"/>
      <c r="V13" s="179"/>
      <c r="W13" s="7"/>
    </row>
    <row r="14" spans="1:26" x14ac:dyDescent="0.25">
      <c r="A14">
        <v>1</v>
      </c>
      <c r="B14" s="123" t="s">
        <v>134</v>
      </c>
      <c r="C14" s="124" t="s">
        <v>127</v>
      </c>
      <c r="D14" s="124" t="s">
        <v>135</v>
      </c>
      <c r="E14" s="113" t="s">
        <v>136</v>
      </c>
      <c r="F14" s="122">
        <v>1E-3</v>
      </c>
      <c r="G14" s="122">
        <v>1.5009999999999999</v>
      </c>
      <c r="H14" s="122">
        <v>3.0009999999999999</v>
      </c>
      <c r="I14" s="122">
        <v>4.5010000000000003</v>
      </c>
      <c r="J14" s="122">
        <v>6</v>
      </c>
      <c r="K14" s="2">
        <v>4.0026666666666664</v>
      </c>
      <c r="L14" s="2">
        <v>8.0026666666666664</v>
      </c>
      <c r="M14" s="2">
        <v>12.002666666666666</v>
      </c>
      <c r="N14" s="2">
        <v>16.002666666666666</v>
      </c>
      <c r="O14" s="2">
        <v>20</v>
      </c>
      <c r="P14" s="125">
        <v>2.666666666666373E-3</v>
      </c>
      <c r="Q14" s="2">
        <v>2.666666666666373E-3</v>
      </c>
      <c r="R14" s="2">
        <v>2.666666666666373E-3</v>
      </c>
      <c r="S14" s="2">
        <v>2.666666666666373E-3</v>
      </c>
      <c r="T14" s="115">
        <v>0</v>
      </c>
      <c r="U14" s="116">
        <v>4.6399999999999997E-2</v>
      </c>
      <c r="V14" s="114" t="s">
        <v>91</v>
      </c>
    </row>
    <row r="18" spans="2:15" s="83" customFormat="1" ht="18.75" x14ac:dyDescent="0.3">
      <c r="B18" s="13" t="s">
        <v>75</v>
      </c>
      <c r="C18" s="13"/>
      <c r="D18" s="14"/>
      <c r="E18" s="12" t="s">
        <v>29</v>
      </c>
      <c r="F18" s="12"/>
      <c r="G18" s="67" t="str">
        <f>Config!$B$6</f>
        <v>Гузаров Ж.К.</v>
      </c>
      <c r="H18" s="67"/>
    </row>
    <row r="19" spans="2:15" s="83" customFormat="1" x14ac:dyDescent="0.25">
      <c r="B19" s="7"/>
      <c r="C19" s="7"/>
      <c r="D19" s="7"/>
      <c r="E19" s="7"/>
      <c r="F19" s="7"/>
      <c r="G19" s="7"/>
      <c r="H19" s="7"/>
    </row>
    <row r="20" spans="2:15" s="83" customFormat="1" x14ac:dyDescent="0.25">
      <c r="B20" s="7"/>
      <c r="C20" s="7"/>
      <c r="D20" s="7"/>
      <c r="E20" s="7"/>
      <c r="F20" s="7"/>
      <c r="G20" s="7"/>
      <c r="H20" s="7"/>
    </row>
    <row r="21" spans="2:15" s="83" customFormat="1" ht="18.75" x14ac:dyDescent="0.3">
      <c r="B21" s="13" t="s">
        <v>111</v>
      </c>
      <c r="C21" s="13"/>
      <c r="D21" s="14"/>
      <c r="E21" s="12" t="s">
        <v>29</v>
      </c>
      <c r="F21" s="12"/>
      <c r="G21" s="67" t="str">
        <f>Config!$B$7</f>
        <v>Цой Ю.С.</v>
      </c>
      <c r="H21" s="67"/>
      <c r="O21" s="142"/>
    </row>
    <row r="22" spans="2:15" x14ac:dyDescent="0.25">
      <c r="O22" s="142"/>
    </row>
  </sheetData>
  <mergeCells count="42">
    <mergeCell ref="F4:G4"/>
    <mergeCell ref="V11:V13"/>
    <mergeCell ref="U1:V1"/>
    <mergeCell ref="A1:M3"/>
    <mergeCell ref="A4:B4"/>
    <mergeCell ref="N1:R1"/>
    <mergeCell ref="S1:T1"/>
    <mergeCell ref="C4:E4"/>
    <mergeCell ref="S3:T3"/>
    <mergeCell ref="U3:V3"/>
    <mergeCell ref="N4:T4"/>
    <mergeCell ref="N3:R3"/>
    <mergeCell ref="S2:T2"/>
    <mergeCell ref="U2:V2"/>
    <mergeCell ref="O2:P2"/>
    <mergeCell ref="J4:K4"/>
    <mergeCell ref="L4:M4"/>
    <mergeCell ref="H4:I4"/>
    <mergeCell ref="A11:A13"/>
    <mergeCell ref="C11:E12"/>
    <mergeCell ref="K13:O13"/>
    <mergeCell ref="F8:U8"/>
    <mergeCell ref="U11:U13"/>
    <mergeCell ref="B11:B13"/>
    <mergeCell ref="P11:T13"/>
    <mergeCell ref="F11:J13"/>
    <mergeCell ref="A5:B5"/>
    <mergeCell ref="K11:O11"/>
    <mergeCell ref="O5:V5"/>
    <mergeCell ref="A7:E7"/>
    <mergeCell ref="I5:K5"/>
    <mergeCell ref="N9:R9"/>
    <mergeCell ref="T7:U7"/>
    <mergeCell ref="Q7:R7"/>
    <mergeCell ref="H9:L9"/>
    <mergeCell ref="A6:B6"/>
    <mergeCell ref="C6:O6"/>
    <mergeCell ref="G5:H5"/>
    <mergeCell ref="A9:F9"/>
    <mergeCell ref="F7:K7"/>
    <mergeCell ref="L7:M7"/>
    <mergeCell ref="A8:E8"/>
  </mergeCells>
  <pageMargins left="0.7" right="0.7" top="0.75" bottom="0.75" header="0.3" footer="0.3"/>
  <pageSetup paperSize="9" scale="48" fitToHeight="0" orientation="landscape" r:id="rId1"/>
  <colBreaks count="1" manualBreakCount="1">
    <brk id="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ЭтаКнига.Get_All_Modules_from_files">
                <anchor moveWithCells="1" sizeWithCells="1">
                  <from>
                    <xdr:col>22</xdr:col>
                    <xdr:colOff>123825</xdr:colOff>
                    <xdr:row>1</xdr:row>
                    <xdr:rowOff>114300</xdr:rowOff>
                  </from>
                  <to>
                    <xdr:col>23</xdr:col>
                    <xdr:colOff>647700</xdr:colOff>
                    <xdr:row>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ЭтаКнига.fill">
                <anchor moveWithCells="1" sizeWithCells="1">
                  <from>
                    <xdr:col>22</xdr:col>
                    <xdr:colOff>133350</xdr:colOff>
                    <xdr:row>2</xdr:row>
                    <xdr:rowOff>419100</xdr:rowOff>
                  </from>
                  <to>
                    <xdr:col>23</xdr:col>
                    <xdr:colOff>657225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ЭтаКнига.Get_All_Modules_from_files">
                <anchor moveWithCells="1" sizeWithCells="1">
                  <from>
                    <xdr:col>22</xdr:col>
                    <xdr:colOff>123825</xdr:colOff>
                    <xdr:row>1</xdr:row>
                    <xdr:rowOff>114300</xdr:rowOff>
                  </from>
                  <to>
                    <xdr:col>23</xdr:col>
                    <xdr:colOff>647700</xdr:colOff>
                    <xdr:row>2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W21"/>
  <sheetViews>
    <sheetView workbookViewId="0">
      <selection activeCell="N2" sqref="N2"/>
    </sheetView>
  </sheetViews>
  <sheetFormatPr defaultRowHeight="15.75" x14ac:dyDescent="0.25"/>
  <cols>
    <col min="22" max="22" width="9.625" customWidth="1"/>
  </cols>
  <sheetData>
    <row r="1" spans="1:23" s="83" customFormat="1" ht="46.5" customHeight="1" x14ac:dyDescent="0.25">
      <c r="A1" s="213" t="s">
        <v>80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224" t="s">
        <v>51</v>
      </c>
      <c r="O1" s="225"/>
      <c r="P1" s="225"/>
      <c r="Q1" s="225"/>
      <c r="R1" s="226"/>
      <c r="S1" s="227" t="s">
        <v>10</v>
      </c>
      <c r="T1" s="228"/>
      <c r="U1" s="211" t="s">
        <v>81</v>
      </c>
      <c r="V1" s="212"/>
      <c r="W1" s="7"/>
    </row>
    <row r="2" spans="1:23" s="83" customFormat="1" ht="19.5" customHeight="1" x14ac:dyDescent="0.25">
      <c r="A2" s="216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8"/>
      <c r="N2" s="111" t="s">
        <v>8</v>
      </c>
      <c r="O2" s="239"/>
      <c r="P2" s="240"/>
      <c r="Q2" s="5"/>
      <c r="R2" s="6"/>
      <c r="S2" s="227" t="s">
        <v>11</v>
      </c>
      <c r="T2" s="228"/>
      <c r="U2" s="227" t="s">
        <v>24</v>
      </c>
      <c r="V2" s="228"/>
      <c r="W2" s="7"/>
    </row>
    <row r="3" spans="1:23" s="83" customFormat="1" ht="39.75" customHeight="1" x14ac:dyDescent="0.25">
      <c r="A3" s="219"/>
      <c r="B3" s="220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1"/>
      <c r="N3" s="236">
        <v>44088</v>
      </c>
      <c r="O3" s="237"/>
      <c r="P3" s="237"/>
      <c r="Q3" s="237"/>
      <c r="R3" s="238"/>
      <c r="S3" s="231" t="s">
        <v>12</v>
      </c>
      <c r="T3" s="232"/>
      <c r="U3" s="233"/>
      <c r="V3" s="234"/>
      <c r="W3" s="7"/>
    </row>
    <row r="4" spans="1:23" s="83" customFormat="1" ht="15.75" customHeight="1" x14ac:dyDescent="0.35">
      <c r="A4" s="222" t="s">
        <v>17</v>
      </c>
      <c r="B4" s="223"/>
      <c r="C4" s="229" t="s">
        <v>18</v>
      </c>
      <c r="D4" s="230"/>
      <c r="E4" s="230"/>
      <c r="F4" s="207"/>
      <c r="G4" s="210"/>
      <c r="H4" s="159"/>
      <c r="I4" s="160"/>
      <c r="J4" s="153" t="s">
        <v>86</v>
      </c>
      <c r="K4" s="154"/>
      <c r="L4" s="157"/>
      <c r="M4" s="158"/>
      <c r="N4" s="235" t="s">
        <v>25</v>
      </c>
      <c r="O4" s="152"/>
      <c r="P4" s="152"/>
      <c r="Q4" s="152"/>
      <c r="R4" s="152"/>
      <c r="S4" s="152"/>
      <c r="T4" s="152"/>
      <c r="U4" s="64"/>
      <c r="V4" s="8"/>
      <c r="W4" s="7"/>
    </row>
    <row r="5" spans="1:23" s="83" customFormat="1" ht="15.75" customHeight="1" x14ac:dyDescent="0.25">
      <c r="A5" s="201" t="s">
        <v>13</v>
      </c>
      <c r="B5" s="202"/>
      <c r="C5" s="91">
        <v>4</v>
      </c>
      <c r="D5" s="91" t="s">
        <v>20</v>
      </c>
      <c r="E5" s="91">
        <v>20</v>
      </c>
      <c r="F5" s="91" t="s">
        <v>4</v>
      </c>
      <c r="G5" s="143" t="s">
        <v>14</v>
      </c>
      <c r="H5" s="144"/>
      <c r="I5" s="207"/>
      <c r="J5" s="208"/>
      <c r="K5" s="209"/>
      <c r="L5" s="65"/>
      <c r="M5" s="7"/>
      <c r="N5" s="7"/>
      <c r="O5" s="203"/>
      <c r="P5" s="204"/>
      <c r="Q5" s="204"/>
      <c r="R5" s="204"/>
      <c r="S5" s="204"/>
      <c r="T5" s="204"/>
      <c r="U5" s="204"/>
      <c r="V5" s="204"/>
      <c r="W5" s="7"/>
    </row>
    <row r="6" spans="1:23" s="83" customFormat="1" x14ac:dyDescent="0.25">
      <c r="A6" s="153" t="s">
        <v>52</v>
      </c>
      <c r="B6" s="154"/>
      <c r="C6" s="154" t="s">
        <v>77</v>
      </c>
      <c r="D6" s="154"/>
      <c r="E6" s="154"/>
      <c r="F6" s="154"/>
      <c r="G6" s="154"/>
      <c r="H6" s="154"/>
      <c r="I6" s="154"/>
      <c r="J6" s="154"/>
      <c r="K6" s="154"/>
      <c r="L6" s="146"/>
      <c r="M6" s="146"/>
      <c r="N6" s="146"/>
      <c r="O6" s="156"/>
      <c r="P6" s="9"/>
      <c r="Q6" s="9"/>
      <c r="R6" s="9"/>
      <c r="S6" s="9"/>
      <c r="T6" s="9"/>
      <c r="U6" s="10"/>
      <c r="V6" s="10"/>
      <c r="W6" s="7"/>
    </row>
    <row r="7" spans="1:23" s="83" customFormat="1" ht="19.5" customHeight="1" x14ac:dyDescent="0.25">
      <c r="A7" s="205" t="s">
        <v>15</v>
      </c>
      <c r="B7" s="206"/>
      <c r="C7" s="206"/>
      <c r="D7" s="206"/>
      <c r="E7" s="150"/>
      <c r="F7" s="147" t="str">
        <f>Config!$B$8</f>
        <v>Калибратор Fluke 707 Ex</v>
      </c>
      <c r="G7" s="147"/>
      <c r="H7" s="147"/>
      <c r="I7" s="147"/>
      <c r="J7" s="147"/>
      <c r="K7" s="148"/>
      <c r="L7" s="149" t="s">
        <v>19</v>
      </c>
      <c r="M7" s="150"/>
      <c r="N7" s="90">
        <f>Config!$B$9</f>
        <v>3697095</v>
      </c>
      <c r="O7" s="88" t="s">
        <v>21</v>
      </c>
      <c r="P7" s="77">
        <f>Config!$B$10</f>
        <v>1.4999999999999999E-2</v>
      </c>
      <c r="Q7" s="153" t="s">
        <v>22</v>
      </c>
      <c r="R7" s="154"/>
      <c r="S7" s="78" t="str">
        <f>Config!$B$11</f>
        <v>0÷24 mA</v>
      </c>
      <c r="T7" s="149" t="s">
        <v>16</v>
      </c>
      <c r="U7" s="150"/>
      <c r="V7" s="79">
        <f>Config!$B$12</f>
        <v>45002</v>
      </c>
      <c r="W7" s="7"/>
    </row>
    <row r="8" spans="1:23" s="83" customFormat="1" ht="12.75" customHeight="1" x14ac:dyDescent="0.25">
      <c r="A8" s="151" t="s">
        <v>23</v>
      </c>
      <c r="B8" s="152"/>
      <c r="C8" s="152"/>
      <c r="D8" s="152"/>
      <c r="E8" s="152"/>
      <c r="F8" s="173" t="s">
        <v>53</v>
      </c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5"/>
      <c r="U8" s="176"/>
      <c r="V8" s="7"/>
      <c r="W8" s="7"/>
    </row>
    <row r="9" spans="1:23" s="83" customFormat="1" ht="15.75" customHeight="1" x14ac:dyDescent="0.25">
      <c r="A9" s="145" t="s">
        <v>54</v>
      </c>
      <c r="B9" s="146"/>
      <c r="C9" s="146"/>
      <c r="D9" s="146"/>
      <c r="E9" s="146"/>
      <c r="F9" s="146"/>
      <c r="G9" s="82">
        <f>Config!$B$4</f>
        <v>98</v>
      </c>
      <c r="H9" s="151" t="s">
        <v>55</v>
      </c>
      <c r="I9" s="155"/>
      <c r="J9" s="155"/>
      <c r="K9" s="155"/>
      <c r="L9" s="155"/>
      <c r="M9" s="82">
        <f>Config!$B$3</f>
        <v>21</v>
      </c>
      <c r="N9" s="145" t="s">
        <v>56</v>
      </c>
      <c r="O9" s="146"/>
      <c r="P9" s="146"/>
      <c r="Q9" s="146"/>
      <c r="R9" s="146"/>
      <c r="S9" s="66">
        <f>Config!$B$5</f>
        <v>40</v>
      </c>
      <c r="T9" s="7"/>
      <c r="U9" s="7"/>
      <c r="V9" s="7"/>
      <c r="W9" s="7"/>
    </row>
    <row r="10" spans="1:23" s="83" customForma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11"/>
      <c r="V10" s="11"/>
      <c r="W10" s="7"/>
    </row>
    <row r="11" spans="1:23" s="83" customFormat="1" ht="15.75" customHeight="1" x14ac:dyDescent="0.25">
      <c r="A11" s="161" t="s">
        <v>8</v>
      </c>
      <c r="B11" s="180" t="s">
        <v>0</v>
      </c>
      <c r="C11" s="164" t="s">
        <v>9</v>
      </c>
      <c r="D11" s="165"/>
      <c r="E11" s="166"/>
      <c r="F11" s="192" t="s">
        <v>26</v>
      </c>
      <c r="G11" s="193"/>
      <c r="H11" s="193"/>
      <c r="I11" s="193"/>
      <c r="J11" s="194"/>
      <c r="K11" s="170" t="s">
        <v>27</v>
      </c>
      <c r="L11" s="171"/>
      <c r="M11" s="171"/>
      <c r="N11" s="171"/>
      <c r="O11" s="172"/>
      <c r="P11" s="183" t="s">
        <v>5</v>
      </c>
      <c r="Q11" s="184"/>
      <c r="R11" s="184"/>
      <c r="S11" s="184"/>
      <c r="T11" s="185"/>
      <c r="U11" s="177" t="s">
        <v>6</v>
      </c>
      <c r="V11" s="177" t="s">
        <v>7</v>
      </c>
      <c r="W11" s="7"/>
    </row>
    <row r="12" spans="1:23" s="83" customFormat="1" x14ac:dyDescent="0.25">
      <c r="A12" s="162"/>
      <c r="B12" s="181"/>
      <c r="C12" s="167"/>
      <c r="D12" s="168"/>
      <c r="E12" s="169"/>
      <c r="F12" s="195"/>
      <c r="G12" s="196"/>
      <c r="H12" s="196"/>
      <c r="I12" s="196"/>
      <c r="J12" s="197"/>
      <c r="K12" s="92">
        <v>4</v>
      </c>
      <c r="L12" s="92">
        <v>8</v>
      </c>
      <c r="M12" s="92">
        <v>12</v>
      </c>
      <c r="N12" s="92">
        <v>16</v>
      </c>
      <c r="O12" s="92">
        <v>20</v>
      </c>
      <c r="P12" s="186"/>
      <c r="Q12" s="187"/>
      <c r="R12" s="187"/>
      <c r="S12" s="187"/>
      <c r="T12" s="188"/>
      <c r="U12" s="178"/>
      <c r="V12" s="178"/>
      <c r="W12" s="7"/>
    </row>
    <row r="13" spans="1:23" s="83" customFormat="1" ht="38.25" x14ac:dyDescent="0.25">
      <c r="A13" s="163"/>
      <c r="B13" s="182"/>
      <c r="C13" s="89" t="s">
        <v>1</v>
      </c>
      <c r="D13" s="89" t="s">
        <v>2</v>
      </c>
      <c r="E13" s="89" t="s">
        <v>3</v>
      </c>
      <c r="F13" s="198"/>
      <c r="G13" s="199"/>
      <c r="H13" s="199"/>
      <c r="I13" s="199"/>
      <c r="J13" s="200"/>
      <c r="K13" s="170" t="s">
        <v>28</v>
      </c>
      <c r="L13" s="171"/>
      <c r="M13" s="171"/>
      <c r="N13" s="171"/>
      <c r="O13" s="172"/>
      <c r="P13" s="189"/>
      <c r="Q13" s="190"/>
      <c r="R13" s="190"/>
      <c r="S13" s="190"/>
      <c r="T13" s="191"/>
      <c r="U13" s="179"/>
      <c r="V13" s="179"/>
      <c r="W13" s="7"/>
    </row>
    <row r="14" spans="1:23" s="83" customFormat="1" x14ac:dyDescent="0.25">
      <c r="B14" s="84" t="s">
        <v>92</v>
      </c>
      <c r="C14" s="85" t="s">
        <v>90</v>
      </c>
      <c r="D14" s="85" t="s">
        <v>87</v>
      </c>
      <c r="E14" s="85" t="s">
        <v>89</v>
      </c>
      <c r="F14" s="86">
        <v>-24.99</v>
      </c>
      <c r="G14" s="86">
        <v>6.39</v>
      </c>
      <c r="H14" s="86">
        <v>37.72</v>
      </c>
      <c r="I14" s="86">
        <v>69.010000000000005</v>
      </c>
      <c r="J14" s="86">
        <v>100.3</v>
      </c>
      <c r="K14" s="2">
        <v>4.0012800000000004</v>
      </c>
      <c r="L14" s="2">
        <v>8.0179200000000002</v>
      </c>
      <c r="M14" s="2">
        <v>12.02816</v>
      </c>
      <c r="N14" s="2">
        <v>16.033280000000001</v>
      </c>
      <c r="O14" s="2">
        <v>20.038399999999999</v>
      </c>
      <c r="P14" s="3">
        <v>1.2800000000003919E-3</v>
      </c>
      <c r="Q14" s="3">
        <v>1.7920000000000158E-2</v>
      </c>
      <c r="R14" s="3">
        <v>2.8159999999999741E-2</v>
      </c>
      <c r="S14" s="3">
        <v>3.3280000000001309E-2</v>
      </c>
      <c r="T14" s="3">
        <v>3.8399999999999324E-2</v>
      </c>
      <c r="U14" s="4">
        <v>4.6399999999999997E-2</v>
      </c>
      <c r="V14" s="94" t="s">
        <v>91</v>
      </c>
    </row>
    <row r="18" spans="2:8" s="83" customFormat="1" ht="18.75" x14ac:dyDescent="0.3">
      <c r="B18" s="13" t="s">
        <v>75</v>
      </c>
      <c r="C18" s="13"/>
      <c r="D18" s="14"/>
      <c r="E18" s="12" t="s">
        <v>29</v>
      </c>
      <c r="F18" s="72"/>
      <c r="G18" s="67" t="str">
        <f>Config!$B$6</f>
        <v>Гузаров Ж.К.</v>
      </c>
      <c r="H18" s="67"/>
    </row>
    <row r="19" spans="2:8" s="83" customFormat="1" x14ac:dyDescent="0.25">
      <c r="B19" s="7"/>
      <c r="C19" s="7"/>
      <c r="D19" s="7"/>
      <c r="E19" s="7"/>
      <c r="F19" s="7"/>
      <c r="G19" s="7"/>
      <c r="H19" s="7"/>
    </row>
    <row r="20" spans="2:8" s="83" customFormat="1" x14ac:dyDescent="0.25">
      <c r="B20" s="7"/>
      <c r="C20" s="7"/>
      <c r="D20" s="7"/>
      <c r="E20" s="7"/>
      <c r="F20" s="7"/>
      <c r="G20" s="7"/>
      <c r="H20" s="7"/>
    </row>
    <row r="21" spans="2:8" s="83" customFormat="1" ht="18.75" x14ac:dyDescent="0.3">
      <c r="B21" s="13" t="s">
        <v>111</v>
      </c>
      <c r="C21" s="13"/>
      <c r="D21" s="14"/>
      <c r="E21" s="12" t="s">
        <v>29</v>
      </c>
      <c r="F21" s="72"/>
      <c r="G21" s="67" t="str">
        <f>Config!$B$7</f>
        <v>Цой Ю.С.</v>
      </c>
      <c r="H21" s="67"/>
    </row>
  </sheetData>
  <mergeCells count="42">
    <mergeCell ref="V11:V13"/>
    <mergeCell ref="K13:O13"/>
    <mergeCell ref="A9:F9"/>
    <mergeCell ref="H9:L9"/>
    <mergeCell ref="N9:R9"/>
    <mergeCell ref="A11:A13"/>
    <mergeCell ref="B11:B13"/>
    <mergeCell ref="C11:E12"/>
    <mergeCell ref="F11:J13"/>
    <mergeCell ref="K11:O11"/>
    <mergeCell ref="P11:T13"/>
    <mergeCell ref="F7:K7"/>
    <mergeCell ref="L7:M7"/>
    <mergeCell ref="Q7:R7"/>
    <mergeCell ref="T7:U7"/>
    <mergeCell ref="U11:U13"/>
    <mergeCell ref="A8:E8"/>
    <mergeCell ref="F8:U8"/>
    <mergeCell ref="N4:T4"/>
    <mergeCell ref="A5:B5"/>
    <mergeCell ref="G5:H5"/>
    <mergeCell ref="I5:K5"/>
    <mergeCell ref="O5:V5"/>
    <mergeCell ref="A6:B6"/>
    <mergeCell ref="C6:O6"/>
    <mergeCell ref="A4:B4"/>
    <mergeCell ref="C4:E4"/>
    <mergeCell ref="F4:G4"/>
    <mergeCell ref="H4:I4"/>
    <mergeCell ref="J4:K4"/>
    <mergeCell ref="L4:M4"/>
    <mergeCell ref="A7:E7"/>
    <mergeCell ref="A1:M3"/>
    <mergeCell ref="N1:R1"/>
    <mergeCell ref="S1:T1"/>
    <mergeCell ref="U1:V1"/>
    <mergeCell ref="O2:P2"/>
    <mergeCell ref="S2:T2"/>
    <mergeCell ref="U2:V2"/>
    <mergeCell ref="N3:R3"/>
    <mergeCell ref="S3:T3"/>
    <mergeCell ref="U3:V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51"/>
  <sheetViews>
    <sheetView view="pageBreakPreview" zoomScale="145" zoomScaleSheetLayoutView="145" workbookViewId="0">
      <selection sqref="A1:XFD51"/>
    </sheetView>
  </sheetViews>
  <sheetFormatPr defaultRowHeight="15.75" x14ac:dyDescent="0.25"/>
  <cols>
    <col min="1" max="1" width="6.875" style="83" customWidth="1"/>
    <col min="2" max="2" width="6.625" style="83" customWidth="1"/>
    <col min="3" max="4" width="6.25" style="83" customWidth="1"/>
    <col min="5" max="5" width="7.875" customWidth="1"/>
    <col min="6" max="6" width="13.125" customWidth="1"/>
    <col min="7" max="7" width="8.125" customWidth="1"/>
    <col min="9" max="9" width="15.625" customWidth="1"/>
  </cols>
  <sheetData>
    <row r="1" spans="1:12" s="18" customFormat="1" ht="27" x14ac:dyDescent="0.35">
      <c r="A1" s="17" t="s">
        <v>30</v>
      </c>
      <c r="L1" s="19"/>
    </row>
    <row r="2" spans="1:12" s="18" customFormat="1" ht="15.75" customHeight="1" x14ac:dyDescent="0.25">
      <c r="A2" s="20" t="s">
        <v>31</v>
      </c>
      <c r="B2" s="21"/>
      <c r="C2" s="21"/>
      <c r="D2" s="21"/>
      <c r="E2" s="22"/>
      <c r="F2" s="21"/>
      <c r="G2" s="21"/>
      <c r="H2" s="21"/>
      <c r="I2" s="21"/>
    </row>
    <row r="3" spans="1:12" s="18" customFormat="1" ht="15" x14ac:dyDescent="0.25">
      <c r="A3" s="21"/>
      <c r="B3" s="21"/>
      <c r="C3" s="21"/>
      <c r="D3" s="21"/>
      <c r="E3" s="21"/>
      <c r="F3" s="21"/>
      <c r="G3" s="21"/>
      <c r="H3" s="21"/>
    </row>
    <row r="4" spans="1:12" s="15" customFormat="1" ht="16.5" x14ac:dyDescent="0.25">
      <c r="E4" s="24" t="s">
        <v>58</v>
      </c>
    </row>
    <row r="5" spans="1:12" s="15" customFormat="1" ht="14.25" x14ac:dyDescent="0.2">
      <c r="E5" s="25" t="s">
        <v>57</v>
      </c>
    </row>
    <row r="6" spans="1:12" s="15" customFormat="1" ht="14.25" x14ac:dyDescent="0.2">
      <c r="E6" s="26" t="s">
        <v>59</v>
      </c>
    </row>
    <row r="7" spans="1:12" s="16" customFormat="1" ht="14.25" customHeight="1" x14ac:dyDescent="0.3">
      <c r="A7" s="28"/>
      <c r="B7" s="29" t="s">
        <v>32</v>
      </c>
      <c r="C7" s="28"/>
      <c r="D7" s="27"/>
      <c r="E7" s="27"/>
      <c r="F7" s="30" t="s">
        <v>33</v>
      </c>
      <c r="G7" s="31"/>
      <c r="H7" s="31"/>
      <c r="I7" s="27"/>
    </row>
    <row r="8" spans="1:12" s="16" customFormat="1" ht="13.5" customHeight="1" x14ac:dyDescent="0.25">
      <c r="A8" s="257" t="s">
        <v>34</v>
      </c>
      <c r="B8" s="257"/>
      <c r="C8" s="257"/>
      <c r="D8" s="258" t="s">
        <v>83</v>
      </c>
      <c r="E8" s="258"/>
      <c r="F8" s="32" t="s">
        <v>8</v>
      </c>
      <c r="G8" s="70" t="s">
        <v>60</v>
      </c>
      <c r="H8" s="33"/>
      <c r="I8" s="21"/>
    </row>
    <row r="9" spans="1:12" s="16" customFormat="1" x14ac:dyDescent="0.25">
      <c r="A9" s="34"/>
      <c r="B9" s="34"/>
      <c r="C9" s="34"/>
      <c r="D9" s="34"/>
      <c r="E9" s="34"/>
      <c r="F9" s="34"/>
      <c r="G9" s="34"/>
      <c r="H9" s="34"/>
      <c r="I9" s="34"/>
    </row>
    <row r="10" spans="1:12" s="18" customFormat="1" ht="15" x14ac:dyDescent="0.25">
      <c r="A10" s="18" t="s">
        <v>35</v>
      </c>
      <c r="D10" s="18" t="s">
        <v>61</v>
      </c>
      <c r="H10" s="259"/>
      <c r="I10" s="259"/>
      <c r="J10" s="21"/>
      <c r="K10" s="35"/>
      <c r="L10" s="36"/>
    </row>
    <row r="11" spans="1:12" s="37" customFormat="1" ht="13.5" customHeight="1" x14ac:dyDescent="0.2">
      <c r="A11" s="37" t="s">
        <v>36</v>
      </c>
      <c r="C11" s="135">
        <f>Протокол!O2</f>
        <v>4701</v>
      </c>
      <c r="D11" s="37" t="s">
        <v>62</v>
      </c>
      <c r="F11" s="248">
        <f>Протокол!N3</f>
        <v>45297</v>
      </c>
      <c r="G11" s="249"/>
      <c r="H11" s="260"/>
      <c r="I11" s="260"/>
      <c r="J11" s="38"/>
      <c r="K11" s="38"/>
      <c r="L11" s="38"/>
    </row>
    <row r="12" spans="1:12" s="15" customFormat="1" ht="15.75" customHeight="1" x14ac:dyDescent="0.25">
      <c r="A12" s="39"/>
      <c r="B12" s="39"/>
      <c r="C12" s="39"/>
      <c r="D12" s="34"/>
      <c r="E12" s="34"/>
      <c r="F12" s="40"/>
      <c r="G12" s="41"/>
      <c r="H12" s="42"/>
      <c r="I12" s="42"/>
      <c r="J12" s="16"/>
      <c r="K12" s="16"/>
      <c r="L12" s="16"/>
    </row>
    <row r="13" spans="1:12" s="18" customFormat="1" x14ac:dyDescent="0.25">
      <c r="A13" s="18" t="s">
        <v>72</v>
      </c>
      <c r="B13" s="43"/>
      <c r="C13" s="43"/>
      <c r="D13" s="43"/>
      <c r="E13" s="43"/>
      <c r="F13" s="43"/>
      <c r="G13" s="43"/>
      <c r="H13" s="44"/>
      <c r="I13" s="43"/>
      <c r="J13" s="43"/>
    </row>
    <row r="14" spans="1:12" s="18" customFormat="1" ht="18" customHeight="1" x14ac:dyDescent="0.25">
      <c r="A14" s="37" t="s">
        <v>73</v>
      </c>
      <c r="B14" s="43"/>
      <c r="C14" s="255" t="str">
        <f>Протокол!C4</f>
        <v>Аналоговый модуль</v>
      </c>
      <c r="D14" s="255"/>
      <c r="E14" s="255"/>
      <c r="F14" s="80" t="str">
        <f>Протокол!F4</f>
        <v>Honeywell</v>
      </c>
      <c r="G14" s="80"/>
      <c r="H14" s="69" t="str">
        <f>Протокол!H4</f>
        <v>CC-PAIH51</v>
      </c>
      <c r="I14" s="81"/>
      <c r="J14" s="44"/>
      <c r="K14" s="21"/>
      <c r="L14" s="21"/>
    </row>
    <row r="15" spans="1:12" s="18" customFormat="1" ht="12.75" customHeight="1" x14ac:dyDescent="0.25">
      <c r="A15" s="37"/>
      <c r="B15" s="43"/>
      <c r="C15" s="241" t="s">
        <v>37</v>
      </c>
      <c r="D15" s="242"/>
      <c r="E15" s="242"/>
      <c r="F15" s="242"/>
      <c r="G15" s="242"/>
      <c r="H15" s="242"/>
      <c r="I15" s="242"/>
      <c r="J15" s="44"/>
      <c r="K15" s="21"/>
      <c r="L15" s="21"/>
    </row>
    <row r="16" spans="1:12" s="18" customFormat="1" x14ac:dyDescent="0.25">
      <c r="A16" s="126" t="str">
        <f>Протокол!L4</f>
        <v>151671285</v>
      </c>
      <c r="B16" s="75"/>
      <c r="C16" s="45"/>
      <c r="D16" s="68" t="str">
        <f>CONCATENATE(Протокол!C5,Протокол!D5,Протокол!E5," ",Протокол!F5)</f>
        <v>4÷20 mA</v>
      </c>
      <c r="E16" s="46"/>
      <c r="F16" s="45"/>
      <c r="G16" s="45"/>
      <c r="H16" s="135" t="str">
        <f>CONCATENATE("±",Протокол!U4," ", "%")</f>
        <v>±0,29 %</v>
      </c>
      <c r="I16" s="33"/>
      <c r="J16" s="44"/>
      <c r="K16" s="21"/>
      <c r="L16" s="21"/>
    </row>
    <row r="17" spans="1:12" s="18" customFormat="1" ht="12.75" customHeight="1" x14ac:dyDescent="0.25">
      <c r="A17" s="48" t="s">
        <v>38</v>
      </c>
      <c r="B17" s="43"/>
      <c r="C17" s="241" t="s">
        <v>39</v>
      </c>
      <c r="D17" s="242"/>
      <c r="E17" s="242"/>
      <c r="F17" s="242"/>
      <c r="G17" s="242"/>
      <c r="H17" s="242"/>
      <c r="I17" s="242"/>
      <c r="J17" s="44"/>
      <c r="K17" s="21"/>
      <c r="L17" s="21"/>
    </row>
    <row r="18" spans="1:12" s="18" customFormat="1" ht="16.5" customHeight="1" x14ac:dyDescent="0.25">
      <c r="A18" s="49"/>
      <c r="B18" s="135" t="str">
        <f>Протокол!I5</f>
        <v>Honeywell</v>
      </c>
      <c r="C18" s="49"/>
      <c r="D18" s="50"/>
      <c r="E18" s="135" t="str">
        <f>Протокол!L5</f>
        <v>USA</v>
      </c>
      <c r="F18" s="51"/>
      <c r="G18" s="51"/>
      <c r="H18" s="51"/>
      <c r="I18" s="45"/>
      <c r="J18" s="43"/>
    </row>
    <row r="19" spans="1:12" s="18" customFormat="1" ht="13.5" customHeight="1" x14ac:dyDescent="0.25">
      <c r="A19" s="48" t="s">
        <v>79</v>
      </c>
      <c r="B19" s="43"/>
      <c r="C19" s="43"/>
      <c r="D19" s="52"/>
      <c r="E19" s="48"/>
      <c r="F19" s="48"/>
      <c r="G19" s="48"/>
      <c r="H19" s="48"/>
      <c r="J19" s="43"/>
    </row>
    <row r="20" spans="1:12" s="15" customFormat="1" ht="12" customHeight="1" x14ac:dyDescent="0.25">
      <c r="A20" s="53"/>
      <c r="B20" s="53"/>
      <c r="C20" s="53"/>
      <c r="D20" s="53"/>
      <c r="E20" s="53"/>
      <c r="F20" s="53"/>
      <c r="G20" s="53"/>
      <c r="H20" s="53"/>
      <c r="I20" s="53"/>
    </row>
    <row r="21" spans="1:12" s="18" customFormat="1" x14ac:dyDescent="0.25">
      <c r="A21" s="18" t="s">
        <v>64</v>
      </c>
      <c r="B21" s="43"/>
      <c r="C21" s="43"/>
      <c r="D21" s="43"/>
      <c r="E21" s="43"/>
      <c r="F21" s="43"/>
      <c r="G21" s="43"/>
      <c r="H21" s="43"/>
      <c r="I21" s="43"/>
      <c r="J21" s="43"/>
    </row>
    <row r="22" spans="1:12" s="18" customFormat="1" ht="15.75" customHeight="1" x14ac:dyDescent="0.25">
      <c r="A22" s="37" t="s">
        <v>63</v>
      </c>
      <c r="B22" s="43"/>
      <c r="C22" s="256" t="str">
        <f>Протокол!C6</f>
        <v xml:space="preserve">O´z DSt 8.053:2017 Контроллеры электрических сигналов измерительные </v>
      </c>
      <c r="D22" s="256"/>
      <c r="E22" s="256"/>
      <c r="F22" s="256"/>
      <c r="G22" s="256"/>
      <c r="H22" s="256"/>
      <c r="I22" s="256"/>
      <c r="J22" s="44"/>
      <c r="K22" s="21"/>
      <c r="L22" s="21"/>
    </row>
    <row r="23" spans="1:12" s="18" customFormat="1" x14ac:dyDescent="0.25">
      <c r="A23" s="37"/>
      <c r="B23" s="43"/>
      <c r="C23" s="256"/>
      <c r="D23" s="256"/>
      <c r="E23" s="256"/>
      <c r="F23" s="256"/>
      <c r="G23" s="256"/>
      <c r="H23" s="256"/>
      <c r="I23" s="256"/>
      <c r="J23" s="44"/>
      <c r="K23" s="21"/>
      <c r="L23" s="21"/>
    </row>
    <row r="24" spans="1:12" s="23" customFormat="1" ht="12" customHeight="1" x14ac:dyDescent="0.25">
      <c r="A24" s="54"/>
      <c r="B24" s="54"/>
      <c r="C24" s="54"/>
      <c r="D24" s="55" t="s">
        <v>40</v>
      </c>
      <c r="E24" s="56"/>
      <c r="F24" s="56"/>
      <c r="G24" s="56"/>
      <c r="H24" s="54"/>
      <c r="I24" s="34"/>
      <c r="J24" s="34"/>
      <c r="K24" s="39"/>
      <c r="L24" s="39"/>
    </row>
    <row r="25" spans="1:12" s="23" customFormat="1" ht="12" customHeight="1" x14ac:dyDescent="0.25">
      <c r="A25" s="54"/>
      <c r="B25" s="54"/>
      <c r="C25" s="54"/>
      <c r="D25" s="55"/>
      <c r="E25" s="56"/>
      <c r="F25" s="56"/>
      <c r="G25" s="56"/>
      <c r="H25" s="54"/>
      <c r="I25" s="34"/>
      <c r="J25" s="34"/>
      <c r="K25" s="39"/>
      <c r="L25" s="39"/>
    </row>
    <row r="26" spans="1:12" s="18" customFormat="1" x14ac:dyDescent="0.25">
      <c r="A26" s="18" t="s">
        <v>65</v>
      </c>
      <c r="B26" s="43"/>
      <c r="C26" s="43"/>
      <c r="D26" s="43"/>
      <c r="E26" s="43"/>
      <c r="F26" s="43"/>
      <c r="G26" s="43"/>
      <c r="H26" s="43"/>
      <c r="I26" s="43"/>
      <c r="J26" s="43"/>
    </row>
    <row r="27" spans="1:12" s="18" customFormat="1" ht="15.75" customHeight="1" x14ac:dyDescent="0.25">
      <c r="A27" s="57" t="s">
        <v>66</v>
      </c>
      <c r="B27" s="57"/>
      <c r="C27" s="62"/>
      <c r="D27" s="249" t="str">
        <f>Протокол!F7</f>
        <v>Калибратор Fluke 707 Ex</v>
      </c>
      <c r="E27" s="249"/>
      <c r="F27" s="249"/>
      <c r="G27" s="249"/>
      <c r="H27" s="249"/>
      <c r="I27" s="249"/>
      <c r="J27" s="44"/>
      <c r="K27" s="21"/>
      <c r="L27" s="21"/>
    </row>
    <row r="28" spans="1:12" s="18" customFormat="1" ht="12" customHeight="1" x14ac:dyDescent="0.25">
      <c r="A28" s="37"/>
      <c r="B28" s="43"/>
      <c r="C28" s="59"/>
      <c r="D28" s="241" t="s">
        <v>48</v>
      </c>
      <c r="E28" s="242"/>
      <c r="F28" s="242"/>
      <c r="G28" s="242"/>
      <c r="H28" s="242"/>
      <c r="I28" s="242"/>
      <c r="J28" s="44"/>
      <c r="K28" s="21"/>
      <c r="L28" s="21"/>
    </row>
    <row r="29" spans="1:12" s="18" customFormat="1" x14ac:dyDescent="0.25">
      <c r="A29" s="250" t="str">
        <f>CONCATENATE("№",Протокол!N7)</f>
        <v>№3697095</v>
      </c>
      <c r="B29" s="250"/>
      <c r="C29" s="135" t="str">
        <f>Протокол!S7</f>
        <v>0÷24 mA</v>
      </c>
      <c r="D29" s="46"/>
      <c r="E29" s="46"/>
      <c r="F29" s="136" t="str">
        <f>CONCATENATE("±",Протокол!P7)</f>
        <v>±0,015</v>
      </c>
      <c r="G29" s="47"/>
      <c r="H29" s="251">
        <f>Протокол!V7</f>
        <v>45002</v>
      </c>
      <c r="I29" s="251"/>
      <c r="J29" s="44"/>
      <c r="K29" s="21"/>
      <c r="L29" s="21"/>
    </row>
    <row r="30" spans="1:12" s="18" customFormat="1" ht="21.75" customHeight="1" x14ac:dyDescent="0.25">
      <c r="A30" s="252" t="s">
        <v>49</v>
      </c>
      <c r="B30" s="253"/>
      <c r="C30" s="253"/>
      <c r="D30" s="253"/>
      <c r="E30" s="253"/>
      <c r="F30" s="253"/>
      <c r="G30" s="253"/>
      <c r="H30" s="253"/>
      <c r="I30" s="253"/>
      <c r="J30" s="44"/>
      <c r="K30" s="21"/>
      <c r="L30" s="21"/>
    </row>
    <row r="31" spans="1:12" s="18" customFormat="1" ht="20.25" customHeight="1" x14ac:dyDescent="0.25">
      <c r="A31" s="73"/>
      <c r="B31" s="74"/>
      <c r="C31" s="74"/>
      <c r="D31" s="74"/>
      <c r="E31" s="74"/>
      <c r="F31" s="74"/>
      <c r="G31" s="74"/>
      <c r="H31" s="74"/>
      <c r="I31" s="74"/>
      <c r="J31" s="44"/>
      <c r="K31" s="21"/>
      <c r="L31" s="21"/>
    </row>
    <row r="32" spans="1:12" s="18" customFormat="1" ht="26.25" customHeight="1" x14ac:dyDescent="0.25">
      <c r="A32" s="254" t="s">
        <v>84</v>
      </c>
      <c r="B32" s="254"/>
      <c r="C32" s="254"/>
      <c r="D32" s="254"/>
      <c r="E32" s="254"/>
      <c r="F32" s="254"/>
      <c r="G32" s="254"/>
      <c r="H32" s="254"/>
      <c r="I32" s="254"/>
      <c r="J32" s="44"/>
      <c r="K32" s="21"/>
      <c r="L32" s="21"/>
    </row>
    <row r="33" spans="1:12" s="18" customFormat="1" ht="12.75" customHeight="1" x14ac:dyDescent="0.25">
      <c r="A33" s="137"/>
      <c r="B33" s="138"/>
      <c r="C33" s="138"/>
      <c r="D33" s="138"/>
      <c r="E33" s="138"/>
      <c r="F33" s="138"/>
      <c r="G33" s="138"/>
      <c r="H33" s="138"/>
      <c r="I33" s="138"/>
      <c r="J33" s="44"/>
      <c r="K33" s="21"/>
      <c r="L33" s="21"/>
    </row>
    <row r="34" spans="1:12" s="18" customFormat="1" x14ac:dyDescent="0.25">
      <c r="A34" s="18" t="s">
        <v>67</v>
      </c>
      <c r="B34" s="43"/>
      <c r="C34" s="43"/>
      <c r="D34" s="43"/>
      <c r="E34" s="43" t="s">
        <v>78</v>
      </c>
      <c r="F34" s="43"/>
      <c r="G34" s="43"/>
      <c r="H34" s="43"/>
      <c r="I34" s="43"/>
      <c r="J34" s="43"/>
    </row>
    <row r="35" spans="1:12" s="18" customFormat="1" ht="14.25" customHeight="1" x14ac:dyDescent="0.25">
      <c r="A35" s="37" t="s">
        <v>68</v>
      </c>
      <c r="B35" s="43"/>
      <c r="C35" s="43"/>
      <c r="D35" s="43"/>
      <c r="E35" s="244" t="s">
        <v>78</v>
      </c>
      <c r="F35" s="244"/>
      <c r="G35" s="244"/>
      <c r="H35" s="244"/>
      <c r="I35" s="244"/>
      <c r="J35" s="43"/>
    </row>
    <row r="36" spans="1:12" s="23" customFormat="1" ht="12" customHeight="1" x14ac:dyDescent="0.25">
      <c r="A36" s="54"/>
      <c r="B36" s="54"/>
      <c r="C36" s="54"/>
      <c r="D36" s="55"/>
      <c r="E36" s="56"/>
      <c r="F36" s="56"/>
      <c r="G36" s="56"/>
      <c r="H36" s="54"/>
      <c r="I36" s="34"/>
      <c r="J36" s="34"/>
      <c r="K36" s="39"/>
      <c r="L36" s="39"/>
    </row>
    <row r="37" spans="1:12" s="23" customFormat="1" ht="12" customHeight="1" x14ac:dyDescent="0.25">
      <c r="A37" s="54"/>
      <c r="B37" s="54"/>
      <c r="C37" s="54"/>
      <c r="D37" s="55"/>
      <c r="E37" s="56"/>
      <c r="F37" s="56"/>
      <c r="G37" s="56"/>
      <c r="H37" s="54"/>
      <c r="I37" s="34"/>
      <c r="J37" s="34"/>
      <c r="K37" s="39"/>
      <c r="L37" s="39"/>
    </row>
    <row r="38" spans="1:12" s="18" customFormat="1" x14ac:dyDescent="0.25">
      <c r="A38" s="18" t="s">
        <v>71</v>
      </c>
      <c r="B38" s="43"/>
      <c r="C38" s="43"/>
      <c r="D38" s="43"/>
      <c r="E38" s="43"/>
      <c r="F38" s="43"/>
      <c r="G38" s="43"/>
      <c r="H38" s="43"/>
      <c r="I38" s="43"/>
      <c r="J38" s="43"/>
    </row>
    <row r="39" spans="1:12" s="18" customFormat="1" x14ac:dyDescent="0.25">
      <c r="A39" s="37" t="s">
        <v>74</v>
      </c>
      <c r="B39" s="43"/>
      <c r="C39" s="43"/>
      <c r="D39" s="43"/>
      <c r="E39" s="49"/>
      <c r="F39" s="245" t="str">
        <f>CONCATENATE(Config!B6,", ", Config!C6)</f>
        <v>Гузаров Ж.К., Инженер по АСУП</v>
      </c>
      <c r="G39" s="245"/>
      <c r="H39" s="245"/>
      <c r="I39" s="245"/>
      <c r="J39" s="44"/>
      <c r="K39" s="62"/>
      <c r="L39" s="21"/>
    </row>
    <row r="40" spans="1:12" s="18" customFormat="1" ht="12.75" customHeight="1" x14ac:dyDescent="0.25">
      <c r="A40" s="43"/>
      <c r="B40" s="43"/>
      <c r="C40" s="43"/>
      <c r="D40" s="43"/>
      <c r="E40" s="43"/>
      <c r="G40" s="48" t="s">
        <v>50</v>
      </c>
      <c r="H40" s="48"/>
      <c r="I40" s="43"/>
      <c r="J40" s="44"/>
      <c r="K40" s="21"/>
      <c r="L40" s="21"/>
    </row>
    <row r="41" spans="1:12" s="23" customFormat="1" ht="12" customHeight="1" x14ac:dyDescent="0.25">
      <c r="A41" s="54"/>
      <c r="B41" s="54"/>
      <c r="C41" s="54"/>
      <c r="D41" s="55"/>
      <c r="E41" s="56"/>
      <c r="F41" s="56"/>
      <c r="G41" s="56"/>
      <c r="H41" s="54"/>
      <c r="I41" s="34"/>
      <c r="J41" s="34"/>
      <c r="K41" s="39"/>
      <c r="L41" s="39"/>
    </row>
    <row r="42" spans="1:12" s="18" customFormat="1" x14ac:dyDescent="0.25">
      <c r="A42" s="57" t="s">
        <v>41</v>
      </c>
      <c r="B42" s="43"/>
      <c r="C42" s="43"/>
      <c r="D42" s="43"/>
      <c r="E42" s="43"/>
      <c r="F42" s="246" t="s">
        <v>42</v>
      </c>
      <c r="G42" s="246"/>
      <c r="H42" s="43"/>
      <c r="I42" s="43"/>
      <c r="J42" s="43"/>
    </row>
    <row r="43" spans="1:12" s="18" customFormat="1" ht="27" customHeight="1" x14ac:dyDescent="0.25">
      <c r="A43" s="48" t="s">
        <v>43</v>
      </c>
      <c r="B43" s="43"/>
      <c r="C43" s="247" t="str">
        <f>CONCATENATE(Config!B7,", ", Config!C7)</f>
        <v>Цой Ю.С., Вед. инженер</v>
      </c>
      <c r="D43" s="247"/>
      <c r="E43" s="247"/>
      <c r="F43" s="247"/>
      <c r="G43" s="58" t="s">
        <v>44</v>
      </c>
      <c r="H43" s="248">
        <f>Протокол!N3</f>
        <v>45297</v>
      </c>
      <c r="I43" s="249"/>
      <c r="J43" s="43"/>
      <c r="K43" s="21"/>
      <c r="L43" s="21"/>
    </row>
    <row r="44" spans="1:12" s="18" customFormat="1" ht="12" customHeight="1" x14ac:dyDescent="0.25">
      <c r="A44" s="43"/>
      <c r="B44" s="43"/>
      <c r="C44" s="241" t="s">
        <v>45</v>
      </c>
      <c r="D44" s="242"/>
      <c r="E44" s="242"/>
      <c r="F44" s="59"/>
      <c r="G44" s="43"/>
      <c r="H44" s="43"/>
      <c r="I44" s="43"/>
      <c r="J44" s="43"/>
    </row>
    <row r="45" spans="1:12" s="18" customFormat="1" ht="10.5" customHeight="1" x14ac:dyDescent="0.25">
      <c r="A45" s="43"/>
      <c r="B45" s="43"/>
      <c r="C45" s="134"/>
      <c r="D45" s="134"/>
      <c r="E45" s="134"/>
      <c r="F45" s="59"/>
      <c r="G45" s="43"/>
      <c r="H45" s="43"/>
      <c r="I45" s="43"/>
      <c r="J45" s="43"/>
    </row>
    <row r="46" spans="1:12" s="18" customFormat="1" x14ac:dyDescent="0.25">
      <c r="B46" s="43"/>
      <c r="C46" s="43"/>
      <c r="D46" s="43" t="s">
        <v>69</v>
      </c>
      <c r="E46" s="43"/>
      <c r="F46" s="43"/>
      <c r="G46" s="43"/>
      <c r="H46" s="43"/>
      <c r="I46" s="43"/>
      <c r="J46" s="44"/>
      <c r="K46" s="21"/>
      <c r="L46" s="21"/>
    </row>
    <row r="47" spans="1:12" s="18" customFormat="1" x14ac:dyDescent="0.25">
      <c r="A47" s="37"/>
      <c r="B47" s="43"/>
      <c r="C47" s="43"/>
      <c r="D47" s="48" t="s">
        <v>70</v>
      </c>
      <c r="E47" s="44"/>
      <c r="F47" s="44"/>
      <c r="G47" s="62"/>
      <c r="H47" s="71" t="s">
        <v>76</v>
      </c>
      <c r="I47" s="44"/>
      <c r="J47" s="44"/>
      <c r="K47" s="21"/>
      <c r="L47" s="21"/>
    </row>
    <row r="48" spans="1:12" s="18" customFormat="1" ht="10.5" customHeight="1" x14ac:dyDescent="0.25">
      <c r="A48" s="43"/>
      <c r="B48" s="43"/>
      <c r="C48" s="134"/>
      <c r="D48" s="134"/>
      <c r="E48" s="134"/>
      <c r="F48" s="59"/>
      <c r="G48" s="43"/>
      <c r="H48" s="43"/>
      <c r="I48" s="43"/>
      <c r="J48" s="43"/>
    </row>
    <row r="49" spans="1:9" s="15" customFormat="1" x14ac:dyDescent="0.25">
      <c r="A49" s="33"/>
      <c r="B49" s="60"/>
      <c r="C49" s="33"/>
      <c r="D49" s="33"/>
      <c r="E49" s="33"/>
      <c r="F49" s="33"/>
      <c r="G49" s="33"/>
      <c r="H49" s="61"/>
      <c r="I49" s="61"/>
    </row>
    <row r="50" spans="1:9" s="52" customFormat="1" ht="12" customHeight="1" x14ac:dyDescent="0.2">
      <c r="A50" s="63" t="s">
        <v>46</v>
      </c>
      <c r="B50" s="63"/>
      <c r="C50" s="63"/>
      <c r="D50" s="63"/>
      <c r="E50" s="63"/>
      <c r="F50" s="63"/>
      <c r="G50" s="63"/>
      <c r="H50" s="63"/>
      <c r="I50" s="63"/>
    </row>
    <row r="51" spans="1:9" s="52" customFormat="1" ht="9.75" customHeight="1" x14ac:dyDescent="0.2">
      <c r="A51" s="52" t="s">
        <v>47</v>
      </c>
      <c r="E51" s="243" t="s">
        <v>117</v>
      </c>
      <c r="F51" s="243"/>
      <c r="G51" s="243"/>
      <c r="H51" s="243"/>
      <c r="I51" s="243"/>
    </row>
  </sheetData>
  <mergeCells count="22">
    <mergeCell ref="A8:C8"/>
    <mergeCell ref="D8:E8"/>
    <mergeCell ref="H10:I10"/>
    <mergeCell ref="F11:G11"/>
    <mergeCell ref="H11:I11"/>
    <mergeCell ref="C14:E14"/>
    <mergeCell ref="C15:I15"/>
    <mergeCell ref="C17:I17"/>
    <mergeCell ref="C22:I23"/>
    <mergeCell ref="D27:I27"/>
    <mergeCell ref="D28:I28"/>
    <mergeCell ref="A29:B29"/>
    <mergeCell ref="H29:I29"/>
    <mergeCell ref="A30:I30"/>
    <mergeCell ref="A32:I32"/>
    <mergeCell ref="C44:E44"/>
    <mergeCell ref="E51:I51"/>
    <mergeCell ref="E35:I35"/>
    <mergeCell ref="F39:I39"/>
    <mergeCell ref="F42:G42"/>
    <mergeCell ref="C43:F43"/>
    <mergeCell ref="H43:I43"/>
  </mergeCells>
  <pageMargins left="0.7" right="0.7" top="0.75" bottom="0.75" header="0.3" footer="0.3"/>
  <pageSetup paperSize="9" scale="9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L51"/>
  <sheetViews>
    <sheetView view="pageBreakPreview" topLeftCell="A28" zoomScale="130" zoomScaleSheetLayoutView="130" workbookViewId="0">
      <selection activeCell="J58" sqref="J58"/>
    </sheetView>
  </sheetViews>
  <sheetFormatPr defaultRowHeight="15.75" x14ac:dyDescent="0.25"/>
  <cols>
    <col min="1" max="1" width="9" style="83"/>
    <col min="2" max="2" width="9.125" style="83" customWidth="1"/>
    <col min="3" max="3" width="9.25" style="83" bestFit="1" customWidth="1"/>
    <col min="4" max="4" width="9" style="83"/>
    <col min="5" max="5" width="10" style="83" customWidth="1"/>
    <col min="6" max="6" width="10.125" style="83" customWidth="1"/>
    <col min="7" max="8" width="9" style="83"/>
    <col min="9" max="9" width="9.625" style="83" customWidth="1"/>
    <col min="10" max="16384" width="9" style="83"/>
  </cols>
  <sheetData>
    <row r="1" spans="1:12" s="18" customFormat="1" ht="27" x14ac:dyDescent="0.35">
      <c r="A1" s="17" t="s">
        <v>30</v>
      </c>
      <c r="L1" s="19"/>
    </row>
    <row r="2" spans="1:12" s="18" customFormat="1" ht="15.75" customHeight="1" x14ac:dyDescent="0.25">
      <c r="A2" s="20" t="s">
        <v>31</v>
      </c>
      <c r="B2" s="21"/>
      <c r="C2" s="21"/>
      <c r="D2" s="21"/>
      <c r="E2" s="22"/>
      <c r="F2" s="21"/>
      <c r="G2" s="21"/>
      <c r="H2" s="21"/>
      <c r="I2" s="21"/>
    </row>
    <row r="3" spans="1:12" s="18" customFormat="1" ht="15" x14ac:dyDescent="0.25">
      <c r="A3" s="21"/>
      <c r="B3" s="21"/>
      <c r="C3" s="21"/>
      <c r="D3" s="21"/>
      <c r="E3" s="21"/>
      <c r="F3" s="21"/>
      <c r="G3" s="21"/>
      <c r="H3" s="21"/>
    </row>
    <row r="4" spans="1:12" s="15" customFormat="1" ht="16.5" x14ac:dyDescent="0.25">
      <c r="E4" s="24" t="s">
        <v>58</v>
      </c>
    </row>
    <row r="5" spans="1:12" s="15" customFormat="1" ht="14.25" x14ac:dyDescent="0.2">
      <c r="E5" s="25" t="s">
        <v>57</v>
      </c>
    </row>
    <row r="6" spans="1:12" s="15" customFormat="1" ht="14.25" x14ac:dyDescent="0.2">
      <c r="E6" s="26" t="s">
        <v>59</v>
      </c>
    </row>
    <row r="7" spans="1:12" s="16" customFormat="1" ht="14.25" customHeight="1" x14ac:dyDescent="0.3">
      <c r="A7" s="28"/>
      <c r="B7" s="29" t="s">
        <v>32</v>
      </c>
      <c r="C7" s="28"/>
      <c r="D7" s="27"/>
      <c r="E7" s="27"/>
      <c r="F7" s="30" t="s">
        <v>33</v>
      </c>
      <c r="G7" s="31"/>
      <c r="H7" s="31"/>
      <c r="I7" s="27"/>
    </row>
    <row r="8" spans="1:12" s="16" customFormat="1" ht="13.5" customHeight="1" x14ac:dyDescent="0.25">
      <c r="A8" s="257" t="s">
        <v>34</v>
      </c>
      <c r="B8" s="257"/>
      <c r="C8" s="257"/>
      <c r="D8" s="258" t="s">
        <v>83</v>
      </c>
      <c r="E8" s="258"/>
      <c r="F8" s="32" t="s">
        <v>8</v>
      </c>
      <c r="G8" s="70" t="s">
        <v>60</v>
      </c>
      <c r="H8" s="33"/>
      <c r="I8" s="21"/>
    </row>
    <row r="9" spans="1:12" s="16" customFormat="1" x14ac:dyDescent="0.25">
      <c r="A9" s="34"/>
      <c r="B9" s="34"/>
      <c r="C9" s="34"/>
      <c r="D9" s="34"/>
      <c r="E9" s="34"/>
      <c r="F9" s="34"/>
      <c r="G9" s="34"/>
      <c r="H9" s="34"/>
      <c r="I9" s="34"/>
    </row>
    <row r="10" spans="1:12" s="18" customFormat="1" ht="15" x14ac:dyDescent="0.25">
      <c r="A10" s="18" t="s">
        <v>35</v>
      </c>
      <c r="D10" s="18" t="s">
        <v>61</v>
      </c>
      <c r="H10" s="259"/>
      <c r="I10" s="259"/>
      <c r="J10" s="21"/>
      <c r="K10" s="35"/>
      <c r="L10" s="36"/>
    </row>
    <row r="11" spans="1:12" s="37" customFormat="1" ht="13.5" customHeight="1" x14ac:dyDescent="0.2">
      <c r="A11" s="37" t="s">
        <v>36</v>
      </c>
      <c r="C11" s="97">
        <f>Протокол!O2</f>
        <v>4701</v>
      </c>
      <c r="D11" s="37" t="s">
        <v>62</v>
      </c>
      <c r="F11" s="248">
        <f>Протокол!N3</f>
        <v>45297</v>
      </c>
      <c r="G11" s="249"/>
      <c r="H11" s="260"/>
      <c r="I11" s="260"/>
      <c r="J11" s="38"/>
      <c r="K11" s="38"/>
      <c r="L11" s="38"/>
    </row>
    <row r="12" spans="1:12" s="15" customFormat="1" ht="15.75" customHeight="1" x14ac:dyDescent="0.25">
      <c r="A12" s="39"/>
      <c r="B12" s="39"/>
      <c r="C12" s="39"/>
      <c r="D12" s="34"/>
      <c r="E12" s="34"/>
      <c r="F12" s="40"/>
      <c r="G12" s="41"/>
      <c r="H12" s="42"/>
      <c r="I12" s="42"/>
      <c r="J12" s="16"/>
      <c r="K12" s="16"/>
      <c r="L12" s="16"/>
    </row>
    <row r="13" spans="1:12" s="18" customFormat="1" x14ac:dyDescent="0.25">
      <c r="A13" s="18" t="s">
        <v>72</v>
      </c>
      <c r="B13" s="43"/>
      <c r="C13" s="43"/>
      <c r="D13" s="43"/>
      <c r="E13" s="43"/>
      <c r="F13" s="43"/>
      <c r="G13" s="43"/>
      <c r="H13" s="44"/>
      <c r="I13" s="43"/>
      <c r="J13" s="43"/>
    </row>
    <row r="14" spans="1:12" s="18" customFormat="1" ht="18" customHeight="1" x14ac:dyDescent="0.25">
      <c r="A14" s="37" t="s">
        <v>73</v>
      </c>
      <c r="B14" s="43"/>
      <c r="C14" s="255" t="str">
        <f>Протокол!C4</f>
        <v>Аналоговый модуль</v>
      </c>
      <c r="D14" s="255"/>
      <c r="E14" s="255"/>
      <c r="F14" s="80" t="str">
        <f>Протокол!F4</f>
        <v>Honeywell</v>
      </c>
      <c r="G14" s="80"/>
      <c r="H14" s="69" t="str">
        <f>Протокол!H4</f>
        <v>CC-PAIH51</v>
      </c>
      <c r="I14" s="81"/>
      <c r="J14" s="44"/>
      <c r="K14" s="21"/>
      <c r="L14" s="21"/>
    </row>
    <row r="15" spans="1:12" s="18" customFormat="1" ht="12.75" customHeight="1" x14ac:dyDescent="0.25">
      <c r="A15" s="37"/>
      <c r="B15" s="43"/>
      <c r="C15" s="241" t="s">
        <v>37</v>
      </c>
      <c r="D15" s="242"/>
      <c r="E15" s="242"/>
      <c r="F15" s="242"/>
      <c r="G15" s="242"/>
      <c r="H15" s="242"/>
      <c r="I15" s="242"/>
      <c r="J15" s="44"/>
      <c r="K15" s="21"/>
      <c r="L15" s="21"/>
    </row>
    <row r="16" spans="1:12" s="18" customFormat="1" x14ac:dyDescent="0.25">
      <c r="A16" s="76" t="str">
        <f xml:space="preserve">  CONCATENATE("№ ",Протокол!L4)</f>
        <v>№ 151671285</v>
      </c>
      <c r="B16" s="75"/>
      <c r="C16" s="45"/>
      <c r="D16" s="68" t="str">
        <f>CONCATENATE(Протокол!C5,Протокол!D5,Протокол!E5," ",Протокол!F5,)</f>
        <v>4÷20 mA</v>
      </c>
      <c r="E16" s="46"/>
      <c r="F16" s="45"/>
      <c r="G16" s="45"/>
      <c r="H16" s="97" t="str">
        <f>CONCATENATE("±",Протокол!U4," ", "%",)</f>
        <v>±0,29 %</v>
      </c>
      <c r="I16" s="33"/>
      <c r="J16" s="44"/>
      <c r="K16" s="21"/>
      <c r="L16" s="21"/>
    </row>
    <row r="17" spans="1:12" s="18" customFormat="1" ht="12.75" customHeight="1" x14ac:dyDescent="0.25">
      <c r="A17" s="48" t="s">
        <v>38</v>
      </c>
      <c r="B17" s="43"/>
      <c r="C17" s="241" t="s">
        <v>39</v>
      </c>
      <c r="D17" s="242"/>
      <c r="E17" s="242"/>
      <c r="F17" s="242"/>
      <c r="G17" s="242"/>
      <c r="H17" s="242"/>
      <c r="I17" s="242"/>
      <c r="J17" s="44"/>
      <c r="K17" s="21"/>
      <c r="L17" s="21"/>
    </row>
    <row r="18" spans="1:12" s="18" customFormat="1" ht="16.5" customHeight="1" x14ac:dyDescent="0.25">
      <c r="A18" s="49"/>
      <c r="B18" s="97" t="str">
        <f>Протокол!I5</f>
        <v>Honeywell</v>
      </c>
      <c r="C18" s="49"/>
      <c r="D18" s="50"/>
      <c r="E18" s="97" t="str">
        <f>Протокол!L5</f>
        <v>USA</v>
      </c>
      <c r="F18" s="51"/>
      <c r="G18" s="51"/>
      <c r="H18" s="51"/>
      <c r="I18" s="45"/>
      <c r="J18" s="43"/>
    </row>
    <row r="19" spans="1:12" s="18" customFormat="1" ht="13.5" customHeight="1" x14ac:dyDescent="0.25">
      <c r="A19" s="48" t="s">
        <v>79</v>
      </c>
      <c r="B19" s="43"/>
      <c r="C19" s="43"/>
      <c r="D19" s="52"/>
      <c r="E19" s="48"/>
      <c r="F19" s="48"/>
      <c r="G19" s="48"/>
      <c r="H19" s="48"/>
      <c r="J19" s="43"/>
    </row>
    <row r="20" spans="1:12" s="15" customFormat="1" ht="12" customHeight="1" x14ac:dyDescent="0.25">
      <c r="A20" s="53"/>
      <c r="B20" s="53"/>
      <c r="C20" s="53"/>
      <c r="D20" s="53"/>
      <c r="E20" s="53"/>
      <c r="F20" s="53"/>
      <c r="G20" s="53"/>
      <c r="H20" s="53"/>
      <c r="I20" s="53"/>
    </row>
    <row r="21" spans="1:12" s="18" customFormat="1" x14ac:dyDescent="0.25">
      <c r="A21" s="18" t="s">
        <v>64</v>
      </c>
      <c r="B21" s="43"/>
      <c r="C21" s="43"/>
      <c r="D21" s="43"/>
      <c r="E21" s="43"/>
      <c r="F21" s="43"/>
      <c r="G21" s="43"/>
      <c r="H21" s="43"/>
      <c r="I21" s="43"/>
      <c r="J21" s="43"/>
    </row>
    <row r="22" spans="1:12" s="18" customFormat="1" ht="15.75" customHeight="1" x14ac:dyDescent="0.25">
      <c r="A22" s="37" t="s">
        <v>63</v>
      </c>
      <c r="B22" s="43"/>
      <c r="C22" s="256" t="str">
        <f>Протокол!C6</f>
        <v xml:space="preserve">O´z DSt 8.053:2017 Контроллеры электрических сигналов измерительные </v>
      </c>
      <c r="D22" s="256"/>
      <c r="E22" s="256"/>
      <c r="F22" s="256"/>
      <c r="G22" s="256"/>
      <c r="H22" s="256"/>
      <c r="I22" s="256"/>
      <c r="J22" s="44"/>
      <c r="K22" s="21"/>
      <c r="L22" s="21"/>
    </row>
    <row r="23" spans="1:12" s="18" customFormat="1" x14ac:dyDescent="0.25">
      <c r="A23" s="37"/>
      <c r="B23" s="43"/>
      <c r="C23" s="256"/>
      <c r="D23" s="256"/>
      <c r="E23" s="256"/>
      <c r="F23" s="256"/>
      <c r="G23" s="256"/>
      <c r="H23" s="256"/>
      <c r="I23" s="256"/>
      <c r="J23" s="44"/>
      <c r="K23" s="21"/>
      <c r="L23" s="21"/>
    </row>
    <row r="24" spans="1:12" s="23" customFormat="1" ht="12" customHeight="1" x14ac:dyDescent="0.25">
      <c r="A24" s="54"/>
      <c r="B24" s="54"/>
      <c r="C24" s="54"/>
      <c r="D24" s="55" t="s">
        <v>40</v>
      </c>
      <c r="E24" s="56"/>
      <c r="F24" s="56"/>
      <c r="G24" s="56"/>
      <c r="H24" s="54"/>
      <c r="I24" s="34"/>
      <c r="J24" s="34"/>
      <c r="K24" s="39"/>
      <c r="L24" s="39"/>
    </row>
    <row r="25" spans="1:12" s="23" customFormat="1" ht="12" customHeight="1" x14ac:dyDescent="0.25">
      <c r="A25" s="54"/>
      <c r="B25" s="54"/>
      <c r="C25" s="54"/>
      <c r="D25" s="55"/>
      <c r="E25" s="56"/>
      <c r="F25" s="56"/>
      <c r="G25" s="56"/>
      <c r="H25" s="54"/>
      <c r="I25" s="34"/>
      <c r="J25" s="34"/>
      <c r="K25" s="39"/>
      <c r="L25" s="39"/>
    </row>
    <row r="26" spans="1:12" s="18" customFormat="1" x14ac:dyDescent="0.25">
      <c r="A26" s="18" t="s">
        <v>65</v>
      </c>
      <c r="B26" s="43"/>
      <c r="C26" s="43"/>
      <c r="D26" s="43"/>
      <c r="E26" s="43"/>
      <c r="F26" s="43"/>
      <c r="G26" s="43"/>
      <c r="H26" s="43"/>
      <c r="I26" s="43"/>
      <c r="J26" s="43"/>
    </row>
    <row r="27" spans="1:12" s="18" customFormat="1" ht="15.75" customHeight="1" x14ac:dyDescent="0.25">
      <c r="A27" s="57" t="s">
        <v>66</v>
      </c>
      <c r="B27" s="57"/>
      <c r="C27" s="62"/>
      <c r="D27" s="249" t="str">
        <f>Протокол!F7</f>
        <v>Калибратор Fluke 707 Ex</v>
      </c>
      <c r="E27" s="249"/>
      <c r="F27" s="249"/>
      <c r="G27" s="249"/>
      <c r="H27" s="249"/>
      <c r="I27" s="249"/>
      <c r="J27" s="44"/>
      <c r="K27" s="21"/>
      <c r="L27" s="21"/>
    </row>
    <row r="28" spans="1:12" s="18" customFormat="1" ht="12" customHeight="1" x14ac:dyDescent="0.25">
      <c r="A28" s="37"/>
      <c r="B28" s="43"/>
      <c r="C28" s="59"/>
      <c r="D28" s="241" t="s">
        <v>48</v>
      </c>
      <c r="E28" s="242"/>
      <c r="F28" s="242"/>
      <c r="G28" s="242"/>
      <c r="H28" s="242"/>
      <c r="I28" s="242"/>
      <c r="J28" s="44"/>
      <c r="K28" s="21"/>
      <c r="L28" s="21"/>
    </row>
    <row r="29" spans="1:12" s="18" customFormat="1" x14ac:dyDescent="0.25">
      <c r="A29" s="250" t="str">
        <f>CONCATENATE("№",Протокол!N7,)</f>
        <v>№3697095</v>
      </c>
      <c r="B29" s="250"/>
      <c r="C29" s="97" t="str">
        <f>CONCATENATE(Протокол!S7)</f>
        <v>0÷24 mA</v>
      </c>
      <c r="D29" s="46"/>
      <c r="E29" s="46"/>
      <c r="F29" s="99" t="str">
        <f>CONCATENATE("±",Протокол!P7," %",)</f>
        <v>±0,015 %</v>
      </c>
      <c r="G29" s="47"/>
      <c r="H29" s="251">
        <f>Протокол!V7</f>
        <v>45002</v>
      </c>
      <c r="I29" s="251"/>
      <c r="J29" s="44"/>
      <c r="K29" s="21"/>
      <c r="L29" s="21"/>
    </row>
    <row r="30" spans="1:12" s="18" customFormat="1" ht="21.75" customHeight="1" x14ac:dyDescent="0.25">
      <c r="A30" s="252" t="s">
        <v>49</v>
      </c>
      <c r="B30" s="253"/>
      <c r="C30" s="253"/>
      <c r="D30" s="253"/>
      <c r="E30" s="253"/>
      <c r="F30" s="253"/>
      <c r="G30" s="253"/>
      <c r="H30" s="253"/>
      <c r="I30" s="253"/>
      <c r="J30" s="44"/>
      <c r="K30" s="21"/>
      <c r="L30" s="21"/>
    </row>
    <row r="31" spans="1:12" s="18" customFormat="1" ht="20.25" customHeight="1" x14ac:dyDescent="0.25">
      <c r="A31" s="73"/>
      <c r="B31" s="74"/>
      <c r="C31" s="74"/>
      <c r="D31" s="74"/>
      <c r="E31" s="74"/>
      <c r="F31" s="74"/>
      <c r="G31" s="74"/>
      <c r="H31" s="74"/>
      <c r="I31" s="74"/>
      <c r="J31" s="44"/>
      <c r="K31" s="21"/>
      <c r="L31" s="21"/>
    </row>
    <row r="32" spans="1:12" s="18" customFormat="1" ht="26.25" customHeight="1" x14ac:dyDescent="0.25">
      <c r="A32" s="254" t="s">
        <v>84</v>
      </c>
      <c r="B32" s="254"/>
      <c r="C32" s="254"/>
      <c r="D32" s="254"/>
      <c r="E32" s="254"/>
      <c r="F32" s="254"/>
      <c r="G32" s="254"/>
      <c r="H32" s="254"/>
      <c r="I32" s="254"/>
      <c r="J32" s="44"/>
      <c r="K32" s="21"/>
      <c r="L32" s="21"/>
    </row>
    <row r="33" spans="1:12" s="18" customFormat="1" ht="12.75" customHeight="1" x14ac:dyDescent="0.25">
      <c r="A33" s="100"/>
      <c r="B33" s="101"/>
      <c r="C33" s="101"/>
      <c r="D33" s="101"/>
      <c r="E33" s="101"/>
      <c r="F33" s="101"/>
      <c r="G33" s="101"/>
      <c r="H33" s="101"/>
      <c r="I33" s="101"/>
      <c r="J33" s="44"/>
      <c r="K33" s="21"/>
      <c r="L33" s="21"/>
    </row>
    <row r="34" spans="1:12" s="18" customFormat="1" x14ac:dyDescent="0.25">
      <c r="A34" s="18" t="s">
        <v>67</v>
      </c>
      <c r="B34" s="43"/>
      <c r="C34" s="43"/>
      <c r="D34" s="43"/>
      <c r="E34" s="43"/>
      <c r="F34" s="43"/>
      <c r="G34" s="43"/>
      <c r="H34" s="43"/>
      <c r="I34" s="43"/>
      <c r="J34" s="43"/>
    </row>
    <row r="35" spans="1:12" s="18" customFormat="1" ht="14.25" customHeight="1" x14ac:dyDescent="0.25">
      <c r="A35" s="37" t="s">
        <v>68</v>
      </c>
      <c r="B35" s="43"/>
      <c r="C35" s="43"/>
      <c r="D35" s="43"/>
      <c r="E35" s="244" t="s">
        <v>78</v>
      </c>
      <c r="F35" s="244"/>
      <c r="G35" s="244"/>
      <c r="H35" s="244"/>
      <c r="I35" s="244"/>
      <c r="J35" s="43"/>
    </row>
    <row r="36" spans="1:12" s="23" customFormat="1" ht="12" customHeight="1" x14ac:dyDescent="0.25">
      <c r="A36" s="54"/>
      <c r="B36" s="54"/>
      <c r="C36" s="54"/>
      <c r="D36" s="55"/>
      <c r="E36" s="56"/>
      <c r="F36" s="56"/>
      <c r="G36" s="56"/>
      <c r="H36" s="54"/>
      <c r="I36" s="34"/>
      <c r="J36" s="34"/>
      <c r="K36" s="39"/>
      <c r="L36" s="39"/>
    </row>
    <row r="37" spans="1:12" s="23" customFormat="1" ht="12" customHeight="1" x14ac:dyDescent="0.25">
      <c r="A37" s="54"/>
      <c r="B37" s="54"/>
      <c r="C37" s="54"/>
      <c r="D37" s="55"/>
      <c r="E37" s="56"/>
      <c r="F37" s="56"/>
      <c r="G37" s="56"/>
      <c r="H37" s="54"/>
      <c r="I37" s="34"/>
      <c r="J37" s="34"/>
      <c r="K37" s="39"/>
      <c r="L37" s="39"/>
    </row>
    <row r="38" spans="1:12" s="18" customFormat="1" x14ac:dyDescent="0.25">
      <c r="A38" s="18" t="s">
        <v>71</v>
      </c>
      <c r="B38" s="43"/>
      <c r="C38" s="43"/>
      <c r="D38" s="43"/>
      <c r="E38" s="43"/>
      <c r="F38" s="43"/>
      <c r="G38" s="43"/>
      <c r="H38" s="43"/>
      <c r="I38" s="43"/>
      <c r="J38" s="43"/>
    </row>
    <row r="39" spans="1:12" s="18" customFormat="1" x14ac:dyDescent="0.25">
      <c r="A39" s="37" t="s">
        <v>74</v>
      </c>
      <c r="B39" s="43"/>
      <c r="C39" s="43"/>
      <c r="D39" s="43"/>
      <c r="E39" s="49"/>
      <c r="F39" s="245" t="e">
        <f>CONCATENATE(Протокол!#REF!,", Инженер по АСУП")</f>
        <v>#REF!</v>
      </c>
      <c r="G39" s="245"/>
      <c r="H39" s="245"/>
      <c r="I39" s="245"/>
      <c r="J39" s="44"/>
      <c r="K39" s="62"/>
      <c r="L39" s="21"/>
    </row>
    <row r="40" spans="1:12" s="18" customFormat="1" ht="12.75" customHeight="1" x14ac:dyDescent="0.25">
      <c r="A40" s="43"/>
      <c r="B40" s="43"/>
      <c r="C40" s="43"/>
      <c r="D40" s="43"/>
      <c r="E40" s="43"/>
      <c r="G40" s="48" t="s">
        <v>50</v>
      </c>
      <c r="H40" s="48"/>
      <c r="I40" s="43"/>
      <c r="J40" s="44"/>
      <c r="K40" s="21"/>
      <c r="L40" s="21"/>
    </row>
    <row r="41" spans="1:12" s="23" customFormat="1" ht="12" customHeight="1" x14ac:dyDescent="0.25">
      <c r="A41" s="54"/>
      <c r="B41" s="54"/>
      <c r="C41" s="54"/>
      <c r="D41" s="55"/>
      <c r="E41" s="56"/>
      <c r="F41" s="56"/>
      <c r="G41" s="56"/>
      <c r="H41" s="54"/>
      <c r="I41" s="34"/>
      <c r="J41" s="34"/>
      <c r="K41" s="39"/>
      <c r="L41" s="39"/>
    </row>
    <row r="42" spans="1:12" s="18" customFormat="1" x14ac:dyDescent="0.25">
      <c r="A42" s="57" t="s">
        <v>41</v>
      </c>
      <c r="B42" s="43"/>
      <c r="C42" s="43"/>
      <c r="D42" s="43"/>
      <c r="E42" s="43"/>
      <c r="F42" s="246" t="s">
        <v>42</v>
      </c>
      <c r="G42" s="246"/>
      <c r="H42" s="43"/>
      <c r="I42" s="43"/>
      <c r="J42" s="43"/>
    </row>
    <row r="43" spans="1:12" s="18" customFormat="1" ht="27" customHeight="1" x14ac:dyDescent="0.25">
      <c r="A43" s="48" t="s">
        <v>43</v>
      </c>
      <c r="B43" s="43"/>
      <c r="C43" s="247" t="e">
        <f>CONCATENATE("          ",Протокол!#REF!,", Инженер по АСУП")</f>
        <v>#REF!</v>
      </c>
      <c r="D43" s="247"/>
      <c r="E43" s="247"/>
      <c r="F43" s="247"/>
      <c r="G43" s="58" t="s">
        <v>44</v>
      </c>
      <c r="H43" s="248">
        <f>Протокол!N3</f>
        <v>45297</v>
      </c>
      <c r="I43" s="249"/>
      <c r="J43" s="43"/>
      <c r="K43" s="21"/>
      <c r="L43" s="21"/>
    </row>
    <row r="44" spans="1:12" s="18" customFormat="1" ht="12" customHeight="1" x14ac:dyDescent="0.25">
      <c r="A44" s="43"/>
      <c r="B44" s="43"/>
      <c r="C44" s="241" t="s">
        <v>45</v>
      </c>
      <c r="D44" s="242"/>
      <c r="E44" s="242"/>
      <c r="F44" s="59"/>
      <c r="G44" s="43"/>
      <c r="H44" s="43"/>
      <c r="I44" s="43"/>
      <c r="J44" s="43"/>
    </row>
    <row r="45" spans="1:12" s="18" customFormat="1" ht="10.5" customHeight="1" x14ac:dyDescent="0.25">
      <c r="A45" s="43"/>
      <c r="B45" s="43"/>
      <c r="C45" s="98"/>
      <c r="D45" s="98"/>
      <c r="E45" s="98"/>
      <c r="F45" s="59"/>
      <c r="G45" s="43"/>
      <c r="H45" s="43"/>
      <c r="I45" s="43"/>
      <c r="J45" s="43"/>
    </row>
    <row r="46" spans="1:12" s="18" customFormat="1" x14ac:dyDescent="0.25">
      <c r="B46" s="43"/>
      <c r="C46" s="43"/>
      <c r="D46" s="43" t="s">
        <v>69</v>
      </c>
      <c r="E46" s="43"/>
      <c r="F46" s="43"/>
      <c r="G46" s="43"/>
      <c r="H46" s="43"/>
      <c r="I46" s="43"/>
      <c r="J46" s="44"/>
      <c r="K46" s="21"/>
      <c r="L46" s="21"/>
    </row>
    <row r="47" spans="1:12" s="18" customFormat="1" x14ac:dyDescent="0.25">
      <c r="A47" s="37"/>
      <c r="B47" s="43"/>
      <c r="C47" s="43"/>
      <c r="D47" s="48" t="s">
        <v>70</v>
      </c>
      <c r="E47" s="44"/>
      <c r="F47" s="44"/>
      <c r="G47" s="62"/>
      <c r="H47" s="71" t="s">
        <v>76</v>
      </c>
      <c r="I47" s="44"/>
      <c r="J47" s="44"/>
      <c r="K47" s="21"/>
      <c r="L47" s="21"/>
    </row>
    <row r="48" spans="1:12" s="18" customFormat="1" ht="10.5" customHeight="1" x14ac:dyDescent="0.25">
      <c r="A48" s="43"/>
      <c r="B48" s="43"/>
      <c r="C48" s="98"/>
      <c r="D48" s="98"/>
      <c r="E48" s="98"/>
      <c r="F48" s="59"/>
      <c r="G48" s="43"/>
      <c r="H48" s="43"/>
      <c r="I48" s="43"/>
      <c r="J48" s="43"/>
    </row>
    <row r="49" spans="1:9" s="15" customFormat="1" x14ac:dyDescent="0.25">
      <c r="A49" s="33"/>
      <c r="B49" s="60"/>
      <c r="C49" s="33"/>
      <c r="D49" s="33"/>
      <c r="E49" s="33"/>
      <c r="F49" s="33"/>
      <c r="G49" s="33"/>
      <c r="H49" s="61"/>
      <c r="I49" s="61"/>
    </row>
    <row r="50" spans="1:9" s="52" customFormat="1" ht="12" customHeight="1" x14ac:dyDescent="0.2">
      <c r="A50" s="63" t="s">
        <v>46</v>
      </c>
      <c r="B50" s="63"/>
      <c r="C50" s="63"/>
      <c r="D50" s="63"/>
      <c r="E50" s="63"/>
      <c r="F50" s="63"/>
      <c r="G50" s="63"/>
      <c r="H50" s="63"/>
      <c r="I50" s="63"/>
    </row>
    <row r="51" spans="1:9" s="52" customFormat="1" ht="9.75" customHeight="1" x14ac:dyDescent="0.2">
      <c r="A51" s="52" t="s">
        <v>47</v>
      </c>
      <c r="E51" s="243" t="s">
        <v>117</v>
      </c>
      <c r="F51" s="243"/>
      <c r="G51" s="243"/>
      <c r="H51" s="243"/>
      <c r="I51" s="243"/>
    </row>
  </sheetData>
  <mergeCells count="22">
    <mergeCell ref="A29:B29"/>
    <mergeCell ref="H29:I29"/>
    <mergeCell ref="A8:C8"/>
    <mergeCell ref="D8:E8"/>
    <mergeCell ref="H10:I10"/>
    <mergeCell ref="F11:G11"/>
    <mergeCell ref="H11:I11"/>
    <mergeCell ref="C14:E14"/>
    <mergeCell ref="C15:I15"/>
    <mergeCell ref="C17:I17"/>
    <mergeCell ref="C22:I23"/>
    <mergeCell ref="D27:I27"/>
    <mergeCell ref="D28:I28"/>
    <mergeCell ref="C44:E44"/>
    <mergeCell ref="E51:I51"/>
    <mergeCell ref="A30:I30"/>
    <mergeCell ref="A32:I32"/>
    <mergeCell ref="E35:I35"/>
    <mergeCell ref="F39:I39"/>
    <mergeCell ref="F42:G42"/>
    <mergeCell ref="C43:F43"/>
    <mergeCell ref="H43:I43"/>
  </mergeCells>
  <pageMargins left="0.7" right="0.7" top="0.75" bottom="0.75" header="0.3" footer="0.3"/>
  <pageSetup paperSize="9" scale="96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V7"/>
  <sheetViews>
    <sheetView workbookViewId="0">
      <selection activeCell="B5" sqref="B5:W7"/>
    </sheetView>
  </sheetViews>
  <sheetFormatPr defaultRowHeight="15.75" x14ac:dyDescent="0.25"/>
  <cols>
    <col min="2" max="2" width="15.625" customWidth="1"/>
    <col min="7" max="7" width="9.375" bestFit="1" customWidth="1"/>
    <col min="8" max="8" width="10" customWidth="1"/>
    <col min="9" max="10" width="9.375" bestFit="1" customWidth="1"/>
  </cols>
  <sheetData>
    <row r="1" spans="1:22" x14ac:dyDescent="0.25">
      <c r="B1" s="95"/>
      <c r="C1" s="95" t="s">
        <v>107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2" spans="1:22" ht="15.75" customHeight="1" x14ac:dyDescent="0.25">
      <c r="A2" s="265" t="s">
        <v>8</v>
      </c>
      <c r="B2" s="266" t="s">
        <v>0</v>
      </c>
      <c r="C2" s="267" t="s">
        <v>9</v>
      </c>
      <c r="D2" s="267"/>
      <c r="E2" s="267"/>
      <c r="F2" s="261" t="s">
        <v>26</v>
      </c>
      <c r="G2" s="268"/>
      <c r="H2" s="268"/>
      <c r="I2" s="268"/>
      <c r="J2" s="268"/>
      <c r="K2" s="264" t="s">
        <v>27</v>
      </c>
      <c r="L2" s="264"/>
      <c r="M2" s="264"/>
      <c r="N2" s="264"/>
      <c r="O2" s="264"/>
      <c r="P2" s="261" t="s">
        <v>5</v>
      </c>
      <c r="Q2" s="261"/>
      <c r="R2" s="261"/>
      <c r="S2" s="261"/>
      <c r="T2" s="261"/>
      <c r="U2" s="263" t="s">
        <v>6</v>
      </c>
    </row>
    <row r="3" spans="1:22" x14ac:dyDescent="0.25">
      <c r="A3" s="265"/>
      <c r="B3" s="266"/>
      <c r="C3" s="267"/>
      <c r="D3" s="267"/>
      <c r="E3" s="267"/>
      <c r="F3" s="268"/>
      <c r="G3" s="268"/>
      <c r="H3" s="268"/>
      <c r="I3" s="268"/>
      <c r="J3" s="268"/>
      <c r="K3" s="1">
        <v>4</v>
      </c>
      <c r="L3" s="1">
        <v>8</v>
      </c>
      <c r="M3" s="1">
        <v>12</v>
      </c>
      <c r="N3" s="1">
        <v>16</v>
      </c>
      <c r="O3" s="1">
        <v>20</v>
      </c>
      <c r="P3" s="261"/>
      <c r="Q3" s="261"/>
      <c r="R3" s="261"/>
      <c r="S3" s="261"/>
      <c r="T3" s="261"/>
      <c r="U3" s="263"/>
    </row>
    <row r="4" spans="1:22" ht="38.25" x14ac:dyDescent="0.25">
      <c r="A4" s="265"/>
      <c r="B4" s="266"/>
      <c r="C4" s="87" t="s">
        <v>1</v>
      </c>
      <c r="D4" s="87" t="s">
        <v>2</v>
      </c>
      <c r="E4" s="87" t="s">
        <v>3</v>
      </c>
      <c r="F4" s="268"/>
      <c r="G4" s="268"/>
      <c r="H4" s="268"/>
      <c r="I4" s="268"/>
      <c r="J4" s="268"/>
      <c r="K4" s="264" t="s">
        <v>28</v>
      </c>
      <c r="L4" s="264"/>
      <c r="M4" s="264"/>
      <c r="N4" s="264"/>
      <c r="O4" s="264"/>
      <c r="P4" s="262"/>
      <c r="Q4" s="262"/>
      <c r="R4" s="262"/>
      <c r="S4" s="262"/>
      <c r="T4" s="262"/>
      <c r="U4" s="263"/>
    </row>
    <row r="5" spans="1:22" x14ac:dyDescent="0.25">
      <c r="B5" s="123" t="s">
        <v>131</v>
      </c>
      <c r="C5" s="124" t="s">
        <v>127</v>
      </c>
      <c r="D5" s="124" t="s">
        <v>132</v>
      </c>
      <c r="E5" s="113" t="s">
        <v>133</v>
      </c>
      <c r="F5" s="122">
        <v>0</v>
      </c>
      <c r="G5" s="129">
        <v>12865</v>
      </c>
      <c r="H5" s="129">
        <v>25727</v>
      </c>
      <c r="I5" s="129">
        <v>38584</v>
      </c>
      <c r="J5" s="129">
        <v>51449</v>
      </c>
      <c r="K5" s="2">
        <v>4</v>
      </c>
      <c r="L5" s="2">
        <v>7.9998445454898768</v>
      </c>
      <c r="M5" s="2">
        <v>11.998756363919009</v>
      </c>
      <c r="N5" s="2">
        <v>15.996113637246902</v>
      </c>
      <c r="O5" s="2">
        <v>19.995958182736778</v>
      </c>
      <c r="P5" s="125">
        <v>0</v>
      </c>
      <c r="Q5" s="2">
        <v>1.5545451012322076E-4</v>
      </c>
      <c r="R5" s="2">
        <v>1.2436360809910951E-3</v>
      </c>
      <c r="S5" s="2">
        <v>3.8863627530982825E-3</v>
      </c>
      <c r="T5" s="115">
        <v>4.0418172632215033E-3</v>
      </c>
      <c r="U5" s="116">
        <v>4.6399999999999997E-2</v>
      </c>
      <c r="V5" s="114" t="s">
        <v>91</v>
      </c>
    </row>
    <row r="6" spans="1:22" x14ac:dyDescent="0.25">
      <c r="B6" s="123" t="s">
        <v>134</v>
      </c>
      <c r="C6" s="124" t="s">
        <v>127</v>
      </c>
      <c r="D6" s="124" t="s">
        <v>135</v>
      </c>
      <c r="E6" s="113" t="s">
        <v>136</v>
      </c>
      <c r="F6" s="122">
        <v>1E-3</v>
      </c>
      <c r="G6" s="122">
        <v>1.5009999999999999</v>
      </c>
      <c r="H6" s="122">
        <v>3.0009999999999999</v>
      </c>
      <c r="I6" s="122">
        <v>4.5010000000000003</v>
      </c>
      <c r="J6" s="122">
        <v>6</v>
      </c>
      <c r="K6" s="2">
        <v>4.0026666666666664</v>
      </c>
      <c r="L6" s="2">
        <v>8.0026666666666664</v>
      </c>
      <c r="M6" s="2">
        <v>12.002666666666666</v>
      </c>
      <c r="N6" s="2">
        <v>16.002666666666666</v>
      </c>
      <c r="O6" s="2">
        <v>20</v>
      </c>
      <c r="P6" s="125">
        <v>2.666666666666373E-3</v>
      </c>
      <c r="Q6" s="2">
        <v>2.666666666666373E-3</v>
      </c>
      <c r="R6" s="2">
        <v>2.666666666666373E-3</v>
      </c>
      <c r="S6" s="2">
        <v>2.666666666666373E-3</v>
      </c>
      <c r="T6" s="115">
        <v>0</v>
      </c>
      <c r="U6" s="116">
        <v>4.6399999999999997E-2</v>
      </c>
      <c r="V6" s="114" t="s">
        <v>91</v>
      </c>
    </row>
    <row r="7" spans="1:22" x14ac:dyDescent="0.25">
      <c r="B7" s="123" t="s">
        <v>137</v>
      </c>
      <c r="C7" s="124" t="s">
        <v>127</v>
      </c>
      <c r="D7" s="124" t="s">
        <v>129</v>
      </c>
      <c r="E7" s="113" t="s">
        <v>128</v>
      </c>
      <c r="F7" s="122">
        <v>-1E-3</v>
      </c>
      <c r="G7" s="122">
        <v>0.249</v>
      </c>
      <c r="H7" s="122">
        <v>0.499</v>
      </c>
      <c r="I7" s="122">
        <v>0.749</v>
      </c>
      <c r="J7" s="122">
        <v>0.999</v>
      </c>
      <c r="K7" s="2">
        <v>3.984</v>
      </c>
      <c r="L7" s="2">
        <v>7.984</v>
      </c>
      <c r="M7" s="2">
        <v>11.984</v>
      </c>
      <c r="N7" s="2">
        <v>15.984</v>
      </c>
      <c r="O7" s="2">
        <v>19.984000000000002</v>
      </c>
      <c r="P7" s="125">
        <v>1.6000000000000014E-2</v>
      </c>
      <c r="Q7" s="2">
        <v>1.6000000000000014E-2</v>
      </c>
      <c r="R7" s="2">
        <v>1.6000000000000014E-2</v>
      </c>
      <c r="S7" s="2">
        <v>1.6000000000000014E-2</v>
      </c>
      <c r="T7" s="115">
        <v>1.5999999999998238E-2</v>
      </c>
      <c r="U7" s="116">
        <v>4.6399999999999997E-2</v>
      </c>
      <c r="V7" s="114" t="s">
        <v>91</v>
      </c>
    </row>
  </sheetData>
  <mergeCells count="8">
    <mergeCell ref="P2:T4"/>
    <mergeCell ref="U2:U4"/>
    <mergeCell ref="K4:O4"/>
    <mergeCell ref="A2:A4"/>
    <mergeCell ref="B2:B4"/>
    <mergeCell ref="C2:E3"/>
    <mergeCell ref="F2:J4"/>
    <mergeCell ref="K2:O2"/>
  </mergeCells>
  <conditionalFormatting sqref="V6:V7">
    <cfRule type="cellIs" dxfId="9" priority="4" operator="equal">
      <formula>"не годен"</formula>
    </cfRule>
  </conditionalFormatting>
  <conditionalFormatting sqref="P6:T7">
    <cfRule type="cellIs" dxfId="8" priority="3" operator="greaterThan">
      <formula>$U$5</formula>
    </cfRule>
  </conditionalFormatting>
  <conditionalFormatting sqref="V5">
    <cfRule type="cellIs" dxfId="7" priority="1" operator="equal">
      <formula>"не годен"</formula>
    </cfRule>
  </conditionalFormatting>
  <conditionalFormatting sqref="P5:T5">
    <cfRule type="cellIs" dxfId="6" priority="2" operator="greater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P9"/>
  <sheetViews>
    <sheetView workbookViewId="0">
      <selection activeCell="A2" sqref="A2:O3"/>
    </sheetView>
  </sheetViews>
  <sheetFormatPr defaultRowHeight="15.75" x14ac:dyDescent="0.25"/>
  <cols>
    <col min="1" max="1" width="9" style="83"/>
    <col min="2" max="2" width="15.625" style="83" customWidth="1"/>
    <col min="3" max="3" width="9" style="83"/>
    <col min="4" max="4" width="11.625" style="83" customWidth="1"/>
    <col min="5" max="5" width="9" style="83"/>
    <col min="6" max="6" width="17" style="83" customWidth="1"/>
    <col min="7" max="7" width="9" style="83"/>
    <col min="8" max="8" width="16.375" style="83" customWidth="1"/>
    <col min="9" max="9" width="9" style="83"/>
    <col min="10" max="10" width="26.125" style="83" customWidth="1"/>
    <col min="11" max="11" width="9" style="83"/>
    <col min="12" max="12" width="15.25" style="83" customWidth="1"/>
    <col min="13" max="13" width="12.5" style="83" customWidth="1"/>
    <col min="14" max="15" width="9" style="83"/>
    <col min="16" max="16" width="18" style="83" customWidth="1"/>
    <col min="17" max="16384" width="9" style="83"/>
  </cols>
  <sheetData>
    <row r="1" spans="1:16" ht="60" x14ac:dyDescent="0.25">
      <c r="A1" s="93" t="s">
        <v>93</v>
      </c>
      <c r="B1" s="93" t="s">
        <v>94</v>
      </c>
      <c r="C1" s="93" t="s">
        <v>95</v>
      </c>
      <c r="D1" s="93" t="s">
        <v>96</v>
      </c>
      <c r="E1" s="93" t="s">
        <v>97</v>
      </c>
      <c r="F1" s="93" t="s">
        <v>98</v>
      </c>
      <c r="G1" s="93" t="s">
        <v>99</v>
      </c>
      <c r="H1" s="93" t="s">
        <v>100</v>
      </c>
      <c r="I1" s="93" t="s">
        <v>101</v>
      </c>
      <c r="J1" s="93" t="s">
        <v>102</v>
      </c>
      <c r="K1" s="93" t="s">
        <v>103</v>
      </c>
      <c r="L1" s="93" t="s">
        <v>104</v>
      </c>
      <c r="M1" s="93" t="s">
        <v>62</v>
      </c>
      <c r="N1" s="93" t="s">
        <v>105</v>
      </c>
      <c r="O1" s="93" t="s">
        <v>106</v>
      </c>
    </row>
    <row r="2" spans="1:16" ht="31.5" x14ac:dyDescent="0.25">
      <c r="A2" s="127">
        <v>536</v>
      </c>
      <c r="B2" s="128" t="s">
        <v>138</v>
      </c>
      <c r="C2" s="128" t="s">
        <v>139</v>
      </c>
      <c r="D2" s="128" t="s">
        <v>140</v>
      </c>
      <c r="E2" s="128" t="s">
        <v>118</v>
      </c>
      <c r="F2" s="128" t="s">
        <v>123</v>
      </c>
      <c r="G2" s="128" t="s">
        <v>124</v>
      </c>
      <c r="H2" s="128" t="s">
        <v>146</v>
      </c>
      <c r="I2" s="128" t="s">
        <v>125</v>
      </c>
      <c r="J2" s="128" t="s">
        <v>147</v>
      </c>
      <c r="K2" s="127">
        <v>8</v>
      </c>
      <c r="L2" s="128" t="s">
        <v>134</v>
      </c>
      <c r="M2" s="141">
        <v>45293</v>
      </c>
      <c r="N2" s="140">
        <v>0.28999999999999998</v>
      </c>
      <c r="O2" s="140">
        <v>4701</v>
      </c>
      <c r="P2" s="83">
        <f>MATCH(Temp2!L2,Temp!B:B,0)</f>
        <v>6</v>
      </c>
    </row>
    <row r="3" spans="1:16" ht="31.5" x14ac:dyDescent="0.25">
      <c r="A3" s="127">
        <v>664</v>
      </c>
      <c r="B3" s="128" t="s">
        <v>138</v>
      </c>
      <c r="C3" s="128" t="s">
        <v>139</v>
      </c>
      <c r="D3" s="128" t="s">
        <v>140</v>
      </c>
      <c r="E3" s="128" t="s">
        <v>118</v>
      </c>
      <c r="F3" s="128" t="s">
        <v>123</v>
      </c>
      <c r="G3" s="128" t="s">
        <v>124</v>
      </c>
      <c r="H3" s="128" t="s">
        <v>141</v>
      </c>
      <c r="I3" s="128" t="s">
        <v>142</v>
      </c>
      <c r="J3" s="128" t="s">
        <v>143</v>
      </c>
      <c r="K3" s="127">
        <v>8</v>
      </c>
      <c r="L3" s="128" t="s">
        <v>131</v>
      </c>
      <c r="M3" s="140" t="s">
        <v>144</v>
      </c>
      <c r="N3" s="140" t="s">
        <v>126</v>
      </c>
      <c r="O3" s="140" t="s">
        <v>145</v>
      </c>
      <c r="P3" s="83">
        <f>MATCH(Temp2!L3,Temp!B:B,0)</f>
        <v>5</v>
      </c>
    </row>
    <row r="4" spans="1:16" ht="31.5" x14ac:dyDescent="0.25">
      <c r="A4" s="127">
        <v>638</v>
      </c>
      <c r="B4" s="128" t="s">
        <v>138</v>
      </c>
      <c r="C4" s="128" t="s">
        <v>139</v>
      </c>
      <c r="D4" s="128" t="s">
        <v>140</v>
      </c>
      <c r="E4" s="128" t="s">
        <v>118</v>
      </c>
      <c r="F4" s="128" t="s">
        <v>123</v>
      </c>
      <c r="G4" s="128" t="s">
        <v>124</v>
      </c>
      <c r="H4" s="128" t="s">
        <v>148</v>
      </c>
      <c r="I4" s="128" t="s">
        <v>149</v>
      </c>
      <c r="J4" s="128" t="s">
        <v>150</v>
      </c>
      <c r="K4" s="127">
        <v>14</v>
      </c>
      <c r="L4" s="128" t="s">
        <v>137</v>
      </c>
      <c r="M4" s="140" t="s">
        <v>144</v>
      </c>
      <c r="N4" s="140" t="s">
        <v>126</v>
      </c>
      <c r="O4" s="140" t="s">
        <v>151</v>
      </c>
      <c r="P4" s="83">
        <f>MATCH(Temp2!L4,Temp!B:B,0)</f>
        <v>7</v>
      </c>
    </row>
    <row r="5" spans="1:16" x14ac:dyDescent="0.25">
      <c r="A5" s="83" t="e">
        <f>MATCH(Temp2!#REF!,Temp!B:B,0)</f>
        <v>#REF!</v>
      </c>
    </row>
    <row r="6" spans="1:16" x14ac:dyDescent="0.25">
      <c r="A6" s="83" t="e">
        <f>MATCH(Temp2!#REF!,Temp!B:B,0)</f>
        <v>#REF!</v>
      </c>
    </row>
    <row r="7" spans="1:16" x14ac:dyDescent="0.25">
      <c r="A7" s="83" t="e">
        <f>MATCH(Temp2!#REF!,Temp!B:B,0)</f>
        <v>#REF!</v>
      </c>
    </row>
    <row r="8" spans="1:16" x14ac:dyDescent="0.25">
      <c r="A8" s="83" t="e">
        <f>MATCH(Temp2!#REF!,Temp!B:B,0)</f>
        <v>#REF!</v>
      </c>
    </row>
    <row r="9" spans="1:16" ht="32.25" customHeight="1" x14ac:dyDescent="0.25">
      <c r="A9" s="83" t="e">
        <f>MATCH(Temp2!#REF!,Temp!B:B,0)</f>
        <v>#REF!</v>
      </c>
    </row>
  </sheetData>
  <sortState ref="A2:O3">
    <sortCondition ref="J2:J3"/>
  </sortState>
  <conditionalFormatting sqref="H2:I2">
    <cfRule type="containsText" dxfId="5" priority="6" operator="containsText" text="none">
      <formula>NOT(ISERROR(SEARCH("none",H2)))</formula>
    </cfRule>
  </conditionalFormatting>
  <conditionalFormatting sqref="L2">
    <cfRule type="containsText" dxfId="4" priority="5" operator="containsText" text="SPARE">
      <formula>NOT(ISERROR(SEARCH("SPARE",L2)))</formula>
    </cfRule>
  </conditionalFormatting>
  <conditionalFormatting sqref="H3:I3">
    <cfRule type="containsText" dxfId="3" priority="4" operator="containsText" text="none">
      <formula>NOT(ISERROR(SEARCH("none",H3)))</formula>
    </cfRule>
  </conditionalFormatting>
  <conditionalFormatting sqref="L3">
    <cfRule type="containsText" dxfId="2" priority="3" operator="containsText" text="SPARE">
      <formula>NOT(ISERROR(SEARCH("SPARE",L3)))</formula>
    </cfRule>
  </conditionalFormatting>
  <conditionalFormatting sqref="H4:I4">
    <cfRule type="containsText" dxfId="1" priority="2" operator="containsText" text="none">
      <formula>NOT(ISERROR(SEARCH("none",H4)))</formula>
    </cfRule>
  </conditionalFormatting>
  <conditionalFormatting sqref="L4">
    <cfRule type="containsText" dxfId="0" priority="1" operator="containsText" text="SPARE">
      <formula>NOT(ISERROR(SEARCH("SPARE",L4)))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13"/>
  <sheetViews>
    <sheetView workbookViewId="0">
      <selection activeCell="B14" sqref="B14"/>
    </sheetView>
  </sheetViews>
  <sheetFormatPr defaultRowHeight="15.75" x14ac:dyDescent="0.25"/>
  <cols>
    <col min="1" max="1" width="34" bestFit="1" customWidth="1"/>
    <col min="2" max="2" width="46" bestFit="1" customWidth="1"/>
  </cols>
  <sheetData>
    <row r="1" spans="1:3" x14ac:dyDescent="0.25">
      <c r="A1" t="s">
        <v>113</v>
      </c>
      <c r="B1" s="96" t="s">
        <v>152</v>
      </c>
    </row>
    <row r="2" spans="1:3" ht="16.5" thickBot="1" x14ac:dyDescent="0.3">
      <c r="B2" t="s">
        <v>88</v>
      </c>
    </row>
    <row r="3" spans="1:3" x14ac:dyDescent="0.25">
      <c r="A3" s="103" t="s">
        <v>108</v>
      </c>
      <c r="B3" s="108">
        <v>21</v>
      </c>
    </row>
    <row r="4" spans="1:3" x14ac:dyDescent="0.25">
      <c r="A4" s="105" t="s">
        <v>109</v>
      </c>
      <c r="B4" s="109">
        <v>98</v>
      </c>
    </row>
    <row r="5" spans="1:3" ht="16.5" thickBot="1" x14ac:dyDescent="0.3">
      <c r="A5" s="107" t="s">
        <v>110</v>
      </c>
      <c r="B5" s="110">
        <v>40</v>
      </c>
    </row>
    <row r="6" spans="1:3" ht="18.75" x14ac:dyDescent="0.3">
      <c r="A6" t="s">
        <v>75</v>
      </c>
      <c r="B6" s="13" t="s">
        <v>122</v>
      </c>
      <c r="C6" s="13" t="s">
        <v>112</v>
      </c>
    </row>
    <row r="7" spans="1:3" ht="19.5" thickBot="1" x14ac:dyDescent="0.35">
      <c r="A7" t="s">
        <v>111</v>
      </c>
      <c r="B7" s="13" t="s">
        <v>130</v>
      </c>
      <c r="C7" s="13" t="s">
        <v>121</v>
      </c>
    </row>
    <row r="8" spans="1:3" x14ac:dyDescent="0.25">
      <c r="A8" s="103" t="s">
        <v>15</v>
      </c>
      <c r="B8" s="104" t="s">
        <v>82</v>
      </c>
      <c r="C8" s="7"/>
    </row>
    <row r="9" spans="1:3" ht="18.75" x14ac:dyDescent="0.3">
      <c r="A9" s="105" t="s">
        <v>116</v>
      </c>
      <c r="B9" s="117">
        <v>3697095</v>
      </c>
    </row>
    <row r="10" spans="1:3" x14ac:dyDescent="0.25">
      <c r="A10" s="105" t="s">
        <v>21</v>
      </c>
      <c r="B10" s="106">
        <v>1.4999999999999999E-2</v>
      </c>
    </row>
    <row r="11" spans="1:3" x14ac:dyDescent="0.25">
      <c r="A11" s="105" t="s">
        <v>22</v>
      </c>
      <c r="B11" s="106" t="s">
        <v>85</v>
      </c>
    </row>
    <row r="12" spans="1:3" ht="16.5" thickBot="1" x14ac:dyDescent="0.3">
      <c r="A12" s="107" t="s">
        <v>16</v>
      </c>
      <c r="B12" s="112">
        <v>45002</v>
      </c>
    </row>
    <row r="13" spans="1:3" x14ac:dyDescent="0.25">
      <c r="A13" s="10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Протокол</vt:lpstr>
      <vt:lpstr>Template</vt:lpstr>
      <vt:lpstr>сертификат</vt:lpstr>
      <vt:lpstr>шаб.сертификат</vt:lpstr>
      <vt:lpstr>Temp</vt:lpstr>
      <vt:lpstr>Temp2</vt:lpstr>
      <vt:lpstr>Config</vt:lpstr>
      <vt:lpstr>Протокол!Область_печати</vt:lpstr>
      <vt:lpstr>сертификат!Область_печати</vt:lpstr>
      <vt:lpstr>шаб.сертификат!Область_печати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KIPIA-1</dc:creator>
  <cp:lastModifiedBy>Khudoyberdiev, Makhmud A.</cp:lastModifiedBy>
  <cp:lastPrinted>2023-11-07T06:20:42Z</cp:lastPrinted>
  <dcterms:created xsi:type="dcterms:W3CDTF">2013-04-17T12:05:14Z</dcterms:created>
  <dcterms:modified xsi:type="dcterms:W3CDTF">2024-01-10T05:31:56Z</dcterms:modified>
</cp:coreProperties>
</file>